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Chart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E+00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595959"/>
      <sz val="10"/>
    </font>
    <font>
      <name val="Arial"/>
      <b val="1"/>
      <sz val="12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165" fontId="3" fillId="0" borderId="0" pivotButton="0" quotePrefix="0" xfId="0"/>
    <xf numFmtId="0" fontId="1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B0B0B"/>
                </a:solidFill>
                <a:latin typeface="Arial"/>
                <a:cs typeface="Arial"/>
              </a:defRPr>
            </a:pPr>
            <a:r>
              <a:rPr sz="1200" b="1">
                <a:solidFill>
                  <a:srgbClr val="0B0B0B"/>
                </a:solidFill>
                <a:latin typeface="Arial"/>
                <a:cs typeface="Arial"/>
              </a:rPr>
              <a:t>Cross-validated prediction error by model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MAE</v>
          </tx>
          <spPr>
            <a:solidFill xmlns:a="http://schemas.openxmlformats.org/drawingml/2006/main">
              <a:srgbClr val="2A78D6"/>
            </a:solidFill>
            <a:ln xmlns:a="http://schemas.openxmlformats.org/drawingml/2006/main" w="19050">
              <a:solidFill>
                <a:srgbClr val="FFFFFF"/>
              </a:solidFill>
              <a:prstDash val="solid"/>
            </a:ln>
          </spP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0B0B0B"/>
                    </a:solidFill>
                    <a:latin typeface="Arial"/>
                    <a:cs typeface="Arial"/>
                  </a:defRPr>
                </a:pPr>
                <a:r>
                  <a:t/>
                </a:r>
                <a:endParaRPr sz="900" b="0">
                  <a:solidFill>
                    <a:srgbClr val="0B0B0B"/>
                  </a:solidFill>
                  <a:latin typeface="Arial"/>
                  <a:cs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'Metrics'!$A$5:$A$7</f>
              <strCache>
                <ptCount val="3"/>
                <pt idx="0">
                  <v>Mean-only baseline</v>
                </pt>
                <pt idx="1">
                  <v>Elo gap only (1 variable)</v>
                </pt>
                <pt idx="2">
                  <v>Full model (8 variables)</v>
                </pt>
              </strCache>
            </strRef>
          </cat>
          <val>
            <numRef>
              <f>'Metrics'!$B$5:$B$7</f>
              <numCache>
                <formatCode>General</formatCode>
                <ptCount val="3"/>
                <pt idx="0">
                  <v>1.5867364447494852</v>
                </pt>
                <pt idx="1">
                  <v>1.2260201228608152</v>
                </pt>
                <pt idx="2">
                  <v>1.2224156148442935</v>
                </pt>
              </numCache>
            </numRef>
          </val>
        </ser>
        <ser>
          <idx val="1"/>
          <order val="1"/>
          <tx>
            <v>RMSE</v>
          </tx>
          <spPr>
            <a:solidFill xmlns:a="http://schemas.openxmlformats.org/drawingml/2006/main">
              <a:srgbClr val="EB6834"/>
            </a:solidFill>
            <a:ln xmlns:a="http://schemas.openxmlformats.org/drawingml/2006/main" w="19050">
              <a:solidFill>
                <a:srgbClr val="FFFFFF"/>
              </a:solidFill>
              <a:prstDash val="solid"/>
            </a:ln>
          </spP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0B0B0B"/>
                    </a:solidFill>
                    <a:latin typeface="Arial"/>
                    <a:cs typeface="Arial"/>
                  </a:defRPr>
                </a:pPr>
                <a:r>
                  <a:t/>
                </a:r>
                <a:endParaRPr sz="900" b="0">
                  <a:solidFill>
                    <a:srgbClr val="0B0B0B"/>
                  </a:solidFill>
                  <a:latin typeface="Arial"/>
                  <a:cs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'Metrics'!$A$5:$A$7</f>
              <strCache>
                <ptCount val="3"/>
                <pt idx="0">
                  <v>Mean-only baseline</v>
                </pt>
                <pt idx="1">
                  <v>Elo gap only (1 variable)</v>
                </pt>
                <pt idx="2">
                  <v>Full model (8 variables)</v>
                </pt>
              </strCache>
            </strRef>
          </cat>
          <val>
            <numRef>
              <f>'Metrics'!$C$5:$C$7</f>
              <numCache>
                <formatCode>General</formatCode>
                <ptCount val="3"/>
                <pt idx="0">
                  <v>2.0368987696689316</v>
                </pt>
                <pt idx="1">
                  <v>1.555248180744233</v>
                </pt>
                <pt idx="2">
                  <v>1.5780299499390829</v>
                </pt>
              </numCache>
            </numRef>
          </val>
        </ser>
        <gapWidth val="80"/>
        <overlap val="-8"/>
        <axId val="10"/>
        <axId val="100"/>
      </barChart>
      <catAx>
        <axId val="10"/>
        <scaling>
          <orientation val="minMax"/>
        </scaling>
        <delete val="0"/>
        <axPos val="l"/>
        <majorTickMark val="out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  <a:cs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  <a:cs typeface="Arial"/>
            </a:endParaRPr>
          </a:p>
        </txPr>
        <crossAx val="100"/>
        <lblOffset val="100"/>
      </catAx>
      <valAx>
        <axId val="100"/>
        <scaling>
          <orientation val="minMax"/>
          <max val="2.5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E4E3DF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  <a:cs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  <a:cs typeface="Arial"/>
                  </a:rPr>
                  <a:t>Goals</a:t>
                </a:r>
              </a:p>
            </rich>
          </tx>
          <overlay val="0"/>
        </title>
        <numFmt formatCode="0.0" sourceLinked="0"/>
        <majorTickMark val="out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  <a:cs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  <a:cs typeface="Arial"/>
            </a:endParaRPr>
          </a:p>
        </txPr>
        <crossAx val="10"/>
        <majorUnit val="0.5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  <a:cs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  <a:cs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latin typeface="Arial"/>
          <a:cs typeface="Arial"/>
        </a:defRPr>
      </a:pPr>
      <a:endParaRPr lang="en-GB"/>
    </a:p>
  </tx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B0B0B"/>
                </a:solidFill>
                <a:latin typeface="Arial"/>
                <a:cs typeface="Arial"/>
              </a:defRPr>
            </a:pPr>
            <a:r>
              <a:rPr sz="1200" b="1">
                <a:solidFill>
                  <a:srgbClr val="0B0B0B"/>
                </a:solidFill>
                <a:latin typeface="Arial"/>
                <a:cs typeface="Arial"/>
              </a:rPr>
              <a:t>Actual vs predicted goal difference (cross-validated)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Perfect prediction (y = x)</v>
          </tx>
          <spPr>
            <a:ln xmlns:a="http://schemas.openxmlformats.org/drawingml/2006/main" w="12700">
              <a:solidFill>
                <a:srgbClr val="595959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Data'!$A$5:$A$6</f>
              <numCache>
                <formatCode>General</formatCode>
                <ptCount val="2"/>
                <pt idx="0">
                  <v>-4.0</v>
                </pt>
                <pt idx="1">
                  <v>6.0</v>
                </pt>
              </numCache>
            </numRef>
          </xVal>
          <yVal>
            <numRef>
              <f>'Chart Data'!$B$5:$B$6</f>
              <numCache>
                <formatCode>General</formatCode>
                <ptCount val="2"/>
                <pt idx="0">
                  <v>-4.0</v>
                </pt>
                <pt idx="1">
                  <v>6.0</v>
                </pt>
              </numCache>
            </numRef>
          </yVal>
          <smooth val="0"/>
        </ser>
        <ser>
          <idx val="1"/>
          <order val="1"/>
          <tx>
            <v>Matches (n = 104)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A78D6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xVal>
            <numRef>
              <f>'Predictions'!$O$2:$O$105</f>
              <numCache>
                <formatCode>General</formatCode>
                <ptCount val="104"/>
                <pt idx="0">
                  <v>2.242920197547882</v>
                </pt>
                <pt idx="1">
                  <v>-0.003079736191271859</v>
                </pt>
                <pt idx="2">
                  <v>1.5803691092485392</v>
                </pt>
                <pt idx="3">
                  <v>0.7734537095142033</v>
                </pt>
                <pt idx="4">
                  <v>-2.038566389519335</v>
                </pt>
                <pt idx="5">
                  <v>1.493320645570516</v>
                </pt>
                <pt idx="6">
                  <v>-0.8557612827953014</v>
                </pt>
                <pt idx="7">
                  <v>-1.18866642971175</v>
                </pt>
                <pt idx="8">
                  <v>2.5308698982936946</v>
                </pt>
                <pt idx="9">
                  <v>0.8478755875415585</v>
                </pt>
                <pt idx="10">
                  <v>0.0021576124094110916</v>
                </pt>
                <pt idx="11">
                  <v>1.423800153331924</v>
                </pt>
                <pt idx="12">
                  <v>2.571646528691035</v>
                </pt>
                <pt idx="13">
                  <v>0.8252976943299724</v>
                </pt>
                <pt idx="14">
                  <v>-1.8812139635860285</v>
                </pt>
                <pt idx="15">
                  <v>1.102558906408639</v>
                </pt>
                <pt idx="16">
                  <v>1.7636881955879546</v>
                </pt>
                <pt idx="17">
                  <v>-1.8829736230695042</v>
                </pt>
                <pt idx="18">
                  <v>1.7810922413570691</v>
                </pt>
                <pt idx="19">
                  <v>2.0776073729196134</v>
                </pt>
                <pt idx="20">
                  <v>1.6605955169412856</v>
                </pt>
                <pt idx="21">
                  <v>1.056573433426936</v>
                </pt>
                <pt idx="22">
                  <v>1.015086480597147</v>
                </pt>
                <pt idx="23">
                  <v>-1.78476046002972</v>
                </pt>
                <pt idx="24">
                  <v>0.9675762449754344</v>
                </pt>
                <pt idx="25">
                  <v>1.1826671529598909</v>
                </pt>
                <pt idx="26">
                  <v>2.0539514375406958</v>
                </pt>
                <pt idx="27">
                  <v>0.886872214312991</v>
                </pt>
                <pt idx="28">
                  <v>3.1716850843686886</v>
                </pt>
                <pt idx="29">
                  <v>-0.24896134204700565</v>
                </pt>
                <pt idx="30">
                  <v>2.0477684860767673</v>
                </pt>
                <pt idx="31">
                  <v>1.1992090505598645</v>
                </pt>
                <pt idx="32">
                  <v>1.381642809067566</v>
                </pt>
                <pt idx="33">
                  <v>3.639849144581417</v>
                </pt>
                <pt idx="34">
                  <v>0.4784995988227914</v>
                </pt>
                <pt idx="35">
                  <v>-1.2776233668064008</v>
                </pt>
                <pt idx="36">
                  <v>1.3391152472489851</v>
                </pt>
                <pt idx="37">
                  <v>-1.2003316325753184</v>
                </pt>
                <pt idx="38">
                  <v>2.7004798787220086</v>
                </pt>
                <pt idx="39">
                  <v>1.5130105468398385</v>
                </pt>
                <pt idx="40">
                  <v>3.778652723367804</v>
                </pt>
                <pt idx="41">
                  <v>0.5536335758646324</v>
                </pt>
                <pt idx="42">
                  <v>1.6157663920306424</v>
                </pt>
                <pt idx="43">
                  <v>-1.6788170502056234</v>
                </pt>
                <pt idx="44">
                  <v>2.2505595993545993</v>
                </pt>
                <pt idx="45">
                  <v>1.3148496344593945</v>
                </pt>
                <pt idx="46">
                  <v>1.5095487975253903</v>
                </pt>
                <pt idx="47">
                  <v>-1.2375012859943069</v>
                </pt>
                <pt idx="48">
                  <v>-0.5209314281548291</v>
                </pt>
                <pt idx="49">
                  <v>-1.08736256618448</v>
                </pt>
                <pt idx="50">
                  <v>-1.0548034454910251</v>
                </pt>
                <pt idx="51">
                  <v>1.202835553723936</v>
                </pt>
                <pt idx="52">
                  <v>-1.6353902283820068</v>
                </pt>
                <pt idx="53">
                  <v>2.025454650003888</v>
                </pt>
                <pt idx="54">
                  <v>-1.6837441633326597</v>
                </pt>
                <pt idx="55">
                  <v>0.21461147190039948</v>
                </pt>
                <pt idx="56">
                  <v>-1.1813785186964119</v>
                </pt>
                <pt idx="57">
                  <v>-1.5016266878721805</v>
                </pt>
                <pt idx="58">
                  <v>-2.0797167073910017</v>
                </pt>
                <pt idx="59">
                  <v>0.049811090823201926</v>
                </pt>
                <pt idx="60">
                  <v>-1.311706582955025</v>
                </pt>
                <pt idx="61">
                  <v>1.645610586135478</v>
                </pt>
                <pt idx="62">
                  <v>-2.126322789379718</v>
                </pt>
                <pt idx="63">
                  <v>0.6241982278429228</v>
                </pt>
                <pt idx="64">
                  <v>-0.7516807207413256</v>
                </pt>
                <pt idx="65">
                  <v>0.7951654701998558</v>
                </pt>
                <pt idx="66">
                  <v>-3.549489972421432</v>
                </pt>
                <pt idx="67">
                  <v>-0.46904702157659656</v>
                </pt>
                <pt idx="68">
                  <v>-0.2742846491972882</v>
                </pt>
                <pt idx="69">
                  <v>1.005417595079004</v>
                </pt>
                <pt idx="70">
                  <v>-2.8772394266699437</v>
                </pt>
                <pt idx="71">
                  <v>0.9078105734742206</v>
                </pt>
                <pt idx="72">
                  <v>-0.7066452817299127</v>
                </pt>
                <pt idx="73">
                  <v>1.7152693773160925</v>
                </pt>
                <pt idx="74">
                  <v>1.3327174801665893</v>
                </pt>
                <pt idx="75">
                  <v>0.6740962385757446</v>
                </pt>
                <pt idx="76">
                  <v>-0.027303790841679984</v>
                </pt>
                <pt idx="77">
                  <v>1.6765921216927229</v>
                </pt>
                <pt idx="78">
                  <v>0.6100802748449587</v>
                </pt>
                <pt idx="79">
                  <v>1.7095379386639338</v>
                </pt>
                <pt idx="80">
                  <v>0.936951339716816</v>
                </pt>
                <pt idx="81">
                  <v>1.5247763531978986</v>
                </pt>
                <pt idx="82">
                  <v>1.6092347415678863</v>
                </pt>
                <pt idx="83">
                  <v>0.7239341509206424</v>
                </pt>
                <pt idx="84">
                  <v>0.9996689516465183</v>
                </pt>
                <pt idx="85">
                  <v>-0.09781073925726824</v>
                </pt>
                <pt idx="86">
                  <v>2.673854659704425</v>
                </pt>
                <pt idx="87">
                  <v>1.4734780855506127</v>
                </pt>
                <pt idx="88">
                  <v>-1.999016285829625</v>
                </pt>
                <pt idx="89">
                  <v>-0.4590061278337093</v>
                </pt>
                <pt idx="90">
                  <v>2.1274466170179998</v>
                </pt>
                <pt idx="91">
                  <v>-0.19900894754292225</v>
                </pt>
                <pt idx="92">
                  <v>-0.19860292761054787</v>
                </pt>
                <pt idx="93">
                  <v>1.0898658372054435</v>
                </pt>
                <pt idx="94">
                  <v>2.064459777087523</v>
                </pt>
                <pt idx="95">
                  <v>-0.7201198470583837</v>
                </pt>
                <pt idx="96">
                  <v>1.3000757727805379</v>
                </pt>
                <pt idx="97">
                  <v>1.3888449081486334</v>
                </pt>
                <pt idx="98">
                  <v>-1.4516466560245593</v>
                </pt>
                <pt idx="99">
                  <v>1.6131868843881954</v>
                </pt>
                <pt idx="100">
                  <v>0.16617118766351294</v>
                </pt>
                <pt idx="101">
                  <v>0.00048504853018674354</v>
                </pt>
                <pt idx="102">
                  <v>0.4399956325821782</v>
                </pt>
                <pt idx="103">
                  <v>0.19923502128647516</v>
                </pt>
              </numCache>
            </numRef>
          </xVal>
          <yVal>
            <numRef>
              <f>'Predictions'!$M$2:$M$105</f>
              <numCache>
                <formatCode>General</formatCode>
                <ptCount val="104"/>
                <pt idx="0">
                  <v>2.0</v>
                </pt>
                <pt idx="1">
                  <v>1.0</v>
                </pt>
                <pt idx="2">
                  <v>0.0</v>
                </pt>
                <pt idx="3">
                  <v>3.0</v>
                </pt>
                <pt idx="4">
                  <v>0.0</v>
                </pt>
                <pt idx="5">
                  <v>0.0</v>
                </pt>
                <pt idx="6">
                  <v>-1.0</v>
                </pt>
                <pt idx="7">
                  <v>2.0</v>
                </pt>
                <pt idx="8">
                  <v>6.0</v>
                </pt>
                <pt idx="9">
                  <v>0.0</v>
                </pt>
                <pt idx="10">
                  <v>1.0</v>
                </pt>
                <pt idx="11">
                  <v>4.0</v>
                </pt>
                <pt idx="12">
                  <v>0.0</v>
                </pt>
                <pt idx="13">
                  <v>0.0</v>
                </pt>
                <pt idx="14">
                  <v>0.0</v>
                </pt>
                <pt idx="15">
                  <v>0.0</v>
                </pt>
                <pt idx="16">
                  <v>2.0</v>
                </pt>
                <pt idx="17">
                  <v>-3.0</v>
                </pt>
                <pt idx="18">
                  <v>3.0</v>
                </pt>
                <pt idx="19">
                  <v>2.0</v>
                </pt>
                <pt idx="20">
                  <v>0.0</v>
                </pt>
                <pt idx="21">
                  <v>2.0</v>
                </pt>
                <pt idx="22">
                  <v>1.0</v>
                </pt>
                <pt idx="23">
                  <v>-2.0</v>
                </pt>
                <pt idx="24">
                  <v>1.0</v>
                </pt>
                <pt idx="25">
                  <v>0.0</v>
                </pt>
                <pt idx="26">
                  <v>6.0</v>
                </pt>
                <pt idx="27">
                  <v>3.0</v>
                </pt>
                <pt idx="28">
                  <v>3.0</v>
                </pt>
                <pt idx="29">
                  <v>-1.0</v>
                </pt>
                <pt idx="30">
                  <v>2.0</v>
                </pt>
                <pt idx="31">
                  <v>-1.0</v>
                </pt>
                <pt idx="32">
                  <v>1.0</v>
                </pt>
                <pt idx="33">
                  <v>0.0</v>
                </pt>
                <pt idx="34">
                  <v>4.0</v>
                </pt>
                <pt idx="35">
                  <v>-4.0</v>
                </pt>
                <pt idx="36">
                  <v>0.0</v>
                </pt>
                <pt idx="37">
                  <v>-2.0</v>
                </pt>
                <pt idx="38">
                  <v>4.0</v>
                </pt>
                <pt idx="39">
                  <v>0.0</v>
                </pt>
                <pt idx="40">
                  <v>3.0</v>
                </pt>
                <pt idx="41">
                  <v>1.0</v>
                </pt>
                <pt idx="42">
                  <v>2.0</v>
                </pt>
                <pt idx="43">
                  <v>-1.0</v>
                </pt>
                <pt idx="44">
                  <v>5.0</v>
                </pt>
                <pt idx="45">
                  <v>1.0</v>
                </pt>
                <pt idx="46">
                  <v>0.0</v>
                </pt>
                <pt idx="47">
                  <v>-1.0</v>
                </pt>
                <pt idx="48">
                  <v>-3.0</v>
                </pt>
                <pt idx="49">
                  <v>1.0</v>
                </pt>
                <pt idx="50">
                  <v>1.0</v>
                </pt>
                <pt idx="51">
                  <v>2.0</v>
                </pt>
                <pt idx="52">
                  <v>-3.0</v>
                </pt>
                <pt idx="53">
                  <v>2.0</v>
                </pt>
                <pt idx="54">
                  <v>1.0</v>
                </pt>
                <pt idx="55">
                  <v>0.0</v>
                </pt>
                <pt idx="56">
                  <v>1.0</v>
                </pt>
                <pt idx="57">
                  <v>-2.0</v>
                </pt>
                <pt idx="58">
                  <v>-2.0</v>
                </pt>
                <pt idx="59">
                  <v>0.0</v>
                </pt>
                <pt idx="60">
                  <v>-3.0</v>
                </pt>
                <pt idx="61">
                  <v>5.0</v>
                </pt>
                <pt idx="62">
                  <v>-4.0</v>
                </pt>
                <pt idx="63">
                  <v>0.0</v>
                </pt>
                <pt idx="64">
                  <v>-1.0</v>
                </pt>
                <pt idx="65">
                  <v>0.0</v>
                </pt>
                <pt idx="66">
                  <v>-2.0</v>
                </pt>
                <pt idx="67">
                  <v>0.0</v>
                </pt>
                <pt idx="68">
                  <v>0.0</v>
                </pt>
                <pt idx="69">
                  <v>2.0</v>
                </pt>
                <pt idx="70">
                  <v>-2.0</v>
                </pt>
                <pt idx="71">
                  <v>1.0</v>
                </pt>
                <pt idx="72">
                  <v>-1.0</v>
                </pt>
                <pt idx="73">
                  <v>1.0</v>
                </pt>
                <pt idx="74">
                  <v>0.0</v>
                </pt>
                <pt idx="75">
                  <v>0.0</v>
                </pt>
                <pt idx="76">
                  <v>-1.0</v>
                </pt>
                <pt idx="77">
                  <v>3.0</v>
                </pt>
                <pt idx="78">
                  <v>2.0</v>
                </pt>
                <pt idx="79">
                  <v>1.0</v>
                </pt>
                <pt idx="80">
                  <v>1.0</v>
                </pt>
                <pt idx="81">
                  <v>2.0</v>
                </pt>
                <pt idx="82">
                  <v>3.0</v>
                </pt>
                <pt idx="83">
                  <v>1.0</v>
                </pt>
                <pt idx="84">
                  <v>2.0</v>
                </pt>
                <pt idx="85">
                  <v>0.0</v>
                </pt>
                <pt idx="86">
                  <v>1.0</v>
                </pt>
                <pt idx="87">
                  <v>1.0</v>
                </pt>
                <pt idx="88">
                  <v>-1.0</v>
                </pt>
                <pt idx="89">
                  <v>-3.0</v>
                </pt>
                <pt idx="90">
                  <v>-1.0</v>
                </pt>
                <pt idx="91">
                  <v>-1.0</v>
                </pt>
                <pt idx="92">
                  <v>-1.0</v>
                </pt>
                <pt idx="93">
                  <v>-3.0</v>
                </pt>
                <pt idx="94">
                  <v>1.0</v>
                </pt>
                <pt idx="95">
                  <v>0.0</v>
                </pt>
                <pt idx="96">
                  <v>2.0</v>
                </pt>
                <pt idx="97">
                  <v>1.0</v>
                </pt>
                <pt idx="98">
                  <v>-1.0</v>
                </pt>
                <pt idx="99">
                  <v>2.0</v>
                </pt>
                <pt idx="100">
                  <v>-2.0</v>
                </pt>
                <pt idx="101">
                  <v>-1.0</v>
                </pt>
                <pt idx="102">
                  <v>-2.0</v>
                </pt>
                <pt idx="103">
                  <v>1.0</v>
                </pt>
              </numCache>
            </numRef>
          </yVal>
          <smooth val="0"/>
        </ser>
        <axId val="10"/>
        <axId val="20"/>
      </scatterChart>
      <valAx>
        <axId val="10"/>
        <scaling>
          <orientation val="minMax"/>
          <max val="6"/>
          <min val="-4"/>
        </scaling>
        <delete val="0"/>
        <axPos val="l"/>
        <majorGridlines>
          <spPr>
            <a:ln xmlns:a="http://schemas.openxmlformats.org/drawingml/2006/main" w="9525">
              <a:solidFill>
                <a:srgbClr val="E4E3DF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  <a:cs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  <a:cs typeface="Arial"/>
                  </a:rPr>
                  <a:t>Predicted goal difference (cross-validated)</a:t>
                </a:r>
              </a:p>
            </rich>
          </tx>
          <overlay val="0"/>
        </title>
        <numFmt formatCode="0" sourceLinked="0"/>
        <majorTickMark val="out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  <a:cs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  <a:cs typeface="Arial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6"/>
          <min val="-4"/>
        </scaling>
        <delete val="0"/>
        <axPos val="l"/>
        <majorGridlines>
          <spPr>
            <a:ln xmlns:a="http://schemas.openxmlformats.org/drawingml/2006/main" w="9525">
              <a:solidFill>
                <a:srgbClr val="E4E3DF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  <a:cs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  <a:cs typeface="Arial"/>
                  </a:rPr>
                  <a:t>Actual goal difference (home − away)</a:t>
                </a:r>
              </a:p>
            </rich>
          </tx>
          <overlay val="0"/>
        </title>
        <numFmt formatCode="0" sourceLinked="0"/>
        <majorTickMark val="out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  <a:cs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  <a:cs typeface="Arial"/>
            </a:endParaRPr>
          </a:p>
        </txPr>
        <crossAx val="10"/>
        <crosses val="min"/>
        <majorUnit val="2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595959"/>
              </a:solidFill>
              <a:latin typeface="Arial"/>
              <a:cs typeface="Arial"/>
            </a:defRPr>
          </a:pPr>
          <a:r>
            <a:t/>
          </a:r>
          <a:endParaRPr sz="900" b="0">
            <a:solidFill>
              <a:srgbClr val="595959"/>
            </a:solidFill>
            <a:latin typeface="Arial"/>
            <a:cs typeface="Arial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latin typeface="Arial"/>
          <a:cs typeface="Arial"/>
        </a:defRPr>
      </a:pPr>
      <a:endParaRPr lang="en-GB"/>
    </a:p>
  </tx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B0B0B"/>
                </a:solidFill>
                <a:latin typeface="Arial"/>
                <a:cs typeface="Arial"/>
              </a:defRPr>
            </a:pPr>
            <a:r>
              <a:rPr sz="1200" b="1">
                <a:solidFill>
                  <a:srgbClr val="0B0B0B"/>
                </a:solidFill>
                <a:latin typeface="Arial"/>
                <a:cs typeface="Arial"/>
              </a:rPr>
              <a:t>Residuals vs predicted values (cross-validated)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Residual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A78D6"/>
              </a:solidFill>
              <a:ln xmlns:a="http://schemas.openxmlformats.org/drawingml/2006/main" w="9525">
                <a:solidFill>
                  <a:srgbClr val="FFFFFF"/>
                </a:solidFill>
                <a:prstDash val="solid"/>
              </a:ln>
            </spPr>
          </marker>
          <xVal>
            <numRef>
              <f>'Predictions'!$O$2:$O$105</f>
              <numCache>
                <formatCode>General</formatCode>
                <ptCount val="104"/>
                <pt idx="0">
                  <v>2.242920197547882</v>
                </pt>
                <pt idx="1">
                  <v>-0.003079736191271859</v>
                </pt>
                <pt idx="2">
                  <v>1.5803691092485392</v>
                </pt>
                <pt idx="3">
                  <v>0.7734537095142033</v>
                </pt>
                <pt idx="4">
                  <v>-2.038566389519335</v>
                </pt>
                <pt idx="5">
                  <v>1.493320645570516</v>
                </pt>
                <pt idx="6">
                  <v>-0.8557612827953014</v>
                </pt>
                <pt idx="7">
                  <v>-1.18866642971175</v>
                </pt>
                <pt idx="8">
                  <v>2.5308698982936946</v>
                </pt>
                <pt idx="9">
                  <v>0.8478755875415585</v>
                </pt>
                <pt idx="10">
                  <v>0.0021576124094110916</v>
                </pt>
                <pt idx="11">
                  <v>1.423800153331924</v>
                </pt>
                <pt idx="12">
                  <v>2.571646528691035</v>
                </pt>
                <pt idx="13">
                  <v>0.8252976943299724</v>
                </pt>
                <pt idx="14">
                  <v>-1.8812139635860285</v>
                </pt>
                <pt idx="15">
                  <v>1.102558906408639</v>
                </pt>
                <pt idx="16">
                  <v>1.7636881955879546</v>
                </pt>
                <pt idx="17">
                  <v>-1.8829736230695042</v>
                </pt>
                <pt idx="18">
                  <v>1.7810922413570691</v>
                </pt>
                <pt idx="19">
                  <v>2.0776073729196134</v>
                </pt>
                <pt idx="20">
                  <v>1.6605955169412856</v>
                </pt>
                <pt idx="21">
                  <v>1.056573433426936</v>
                </pt>
                <pt idx="22">
                  <v>1.015086480597147</v>
                </pt>
                <pt idx="23">
                  <v>-1.78476046002972</v>
                </pt>
                <pt idx="24">
                  <v>0.9675762449754344</v>
                </pt>
                <pt idx="25">
                  <v>1.1826671529598909</v>
                </pt>
                <pt idx="26">
                  <v>2.0539514375406958</v>
                </pt>
                <pt idx="27">
                  <v>0.886872214312991</v>
                </pt>
                <pt idx="28">
                  <v>3.1716850843686886</v>
                </pt>
                <pt idx="29">
                  <v>-0.24896134204700565</v>
                </pt>
                <pt idx="30">
                  <v>2.0477684860767673</v>
                </pt>
                <pt idx="31">
                  <v>1.1992090505598645</v>
                </pt>
                <pt idx="32">
                  <v>1.381642809067566</v>
                </pt>
                <pt idx="33">
                  <v>3.639849144581417</v>
                </pt>
                <pt idx="34">
                  <v>0.4784995988227914</v>
                </pt>
                <pt idx="35">
                  <v>-1.2776233668064008</v>
                </pt>
                <pt idx="36">
                  <v>1.3391152472489851</v>
                </pt>
                <pt idx="37">
                  <v>-1.2003316325753184</v>
                </pt>
                <pt idx="38">
                  <v>2.7004798787220086</v>
                </pt>
                <pt idx="39">
                  <v>1.5130105468398385</v>
                </pt>
                <pt idx="40">
                  <v>3.778652723367804</v>
                </pt>
                <pt idx="41">
                  <v>0.5536335758646324</v>
                </pt>
                <pt idx="42">
                  <v>1.6157663920306424</v>
                </pt>
                <pt idx="43">
                  <v>-1.6788170502056234</v>
                </pt>
                <pt idx="44">
                  <v>2.2505595993545993</v>
                </pt>
                <pt idx="45">
                  <v>1.3148496344593945</v>
                </pt>
                <pt idx="46">
                  <v>1.5095487975253903</v>
                </pt>
                <pt idx="47">
                  <v>-1.2375012859943069</v>
                </pt>
                <pt idx="48">
                  <v>-0.5209314281548291</v>
                </pt>
                <pt idx="49">
                  <v>-1.08736256618448</v>
                </pt>
                <pt idx="50">
                  <v>-1.0548034454910251</v>
                </pt>
                <pt idx="51">
                  <v>1.202835553723936</v>
                </pt>
                <pt idx="52">
                  <v>-1.6353902283820068</v>
                </pt>
                <pt idx="53">
                  <v>2.025454650003888</v>
                </pt>
                <pt idx="54">
                  <v>-1.6837441633326597</v>
                </pt>
                <pt idx="55">
                  <v>0.21461147190039948</v>
                </pt>
                <pt idx="56">
                  <v>-1.1813785186964119</v>
                </pt>
                <pt idx="57">
                  <v>-1.5016266878721805</v>
                </pt>
                <pt idx="58">
                  <v>-2.0797167073910017</v>
                </pt>
                <pt idx="59">
                  <v>0.049811090823201926</v>
                </pt>
                <pt idx="60">
                  <v>-1.311706582955025</v>
                </pt>
                <pt idx="61">
                  <v>1.645610586135478</v>
                </pt>
                <pt idx="62">
                  <v>-2.126322789379718</v>
                </pt>
                <pt idx="63">
                  <v>0.6241982278429228</v>
                </pt>
                <pt idx="64">
                  <v>-0.7516807207413256</v>
                </pt>
                <pt idx="65">
                  <v>0.7951654701998558</v>
                </pt>
                <pt idx="66">
                  <v>-3.549489972421432</v>
                </pt>
                <pt idx="67">
                  <v>-0.46904702157659656</v>
                </pt>
                <pt idx="68">
                  <v>-0.2742846491972882</v>
                </pt>
                <pt idx="69">
                  <v>1.005417595079004</v>
                </pt>
                <pt idx="70">
                  <v>-2.8772394266699437</v>
                </pt>
                <pt idx="71">
                  <v>0.9078105734742206</v>
                </pt>
                <pt idx="72">
                  <v>-0.7066452817299127</v>
                </pt>
                <pt idx="73">
                  <v>1.7152693773160925</v>
                </pt>
                <pt idx="74">
                  <v>1.3327174801665893</v>
                </pt>
                <pt idx="75">
                  <v>0.6740962385757446</v>
                </pt>
                <pt idx="76">
                  <v>-0.027303790841679984</v>
                </pt>
                <pt idx="77">
                  <v>1.6765921216927229</v>
                </pt>
                <pt idx="78">
                  <v>0.6100802748449587</v>
                </pt>
                <pt idx="79">
                  <v>1.7095379386639338</v>
                </pt>
                <pt idx="80">
                  <v>0.936951339716816</v>
                </pt>
                <pt idx="81">
                  <v>1.5247763531978986</v>
                </pt>
                <pt idx="82">
                  <v>1.6092347415678863</v>
                </pt>
                <pt idx="83">
                  <v>0.7239341509206424</v>
                </pt>
                <pt idx="84">
                  <v>0.9996689516465183</v>
                </pt>
                <pt idx="85">
                  <v>-0.09781073925726824</v>
                </pt>
                <pt idx="86">
                  <v>2.673854659704425</v>
                </pt>
                <pt idx="87">
                  <v>1.4734780855506127</v>
                </pt>
                <pt idx="88">
                  <v>-1.999016285829625</v>
                </pt>
                <pt idx="89">
                  <v>-0.4590061278337093</v>
                </pt>
                <pt idx="90">
                  <v>2.1274466170179998</v>
                </pt>
                <pt idx="91">
                  <v>-0.19900894754292225</v>
                </pt>
                <pt idx="92">
                  <v>-0.19860292761054787</v>
                </pt>
                <pt idx="93">
                  <v>1.0898658372054435</v>
                </pt>
                <pt idx="94">
                  <v>2.064459777087523</v>
                </pt>
                <pt idx="95">
                  <v>-0.7201198470583837</v>
                </pt>
                <pt idx="96">
                  <v>1.3000757727805379</v>
                </pt>
                <pt idx="97">
                  <v>1.3888449081486334</v>
                </pt>
                <pt idx="98">
                  <v>-1.4516466560245593</v>
                </pt>
                <pt idx="99">
                  <v>1.6131868843881954</v>
                </pt>
                <pt idx="100">
                  <v>0.16617118766351294</v>
                </pt>
                <pt idx="101">
                  <v>0.00048504853018674354</v>
                </pt>
                <pt idx="102">
                  <v>0.4399956325821782</v>
                </pt>
                <pt idx="103">
                  <v>0.19923502128647516</v>
                </pt>
              </numCache>
            </numRef>
          </xVal>
          <yVal>
            <numRef>
              <f>'Predictions'!$P$2:$P$105</f>
              <numCache>
                <formatCode>General</formatCode>
                <ptCount val="104"/>
                <pt idx="0">
                  <v>-0.24292019754788186</v>
                </pt>
                <pt idx="1">
                  <v>1.0030797361912718</v>
                </pt>
                <pt idx="2">
                  <v>-1.5803691092485392</v>
                </pt>
                <pt idx="3">
                  <v>2.2265462904857967</v>
                </pt>
                <pt idx="4">
                  <v>2.038566389519335</v>
                </pt>
                <pt idx="5">
                  <v>-1.493320645570516</v>
                </pt>
                <pt idx="6">
                  <v>-0.1442387172046986</v>
                </pt>
                <pt idx="7">
                  <v>3.18866642971175</v>
                </pt>
                <pt idx="8">
                  <v>3.4691301017063054</v>
                </pt>
                <pt idx="9">
                  <v>-0.8478755875415585</v>
                </pt>
                <pt idx="10">
                  <v>0.9978423875905889</v>
                </pt>
                <pt idx="11">
                  <v>2.576199846668076</v>
                </pt>
                <pt idx="12">
                  <v>-2.571646528691035</v>
                </pt>
                <pt idx="13">
                  <v>-0.8252976943299724</v>
                </pt>
                <pt idx="14">
                  <v>1.8812139635860285</v>
                </pt>
                <pt idx="15">
                  <v>-1.102558906408639</v>
                </pt>
                <pt idx="16">
                  <v>0.23631180441204536</v>
                </pt>
                <pt idx="17">
                  <v>-1.1170263769304958</v>
                </pt>
                <pt idx="18">
                  <v>1.2189077586429309</v>
                </pt>
                <pt idx="19">
                  <v>-0.0776073729196134</v>
                </pt>
                <pt idx="20">
                  <v>-1.6605955169412856</v>
                </pt>
                <pt idx="21">
                  <v>0.9434265665730639</v>
                </pt>
                <pt idx="22">
                  <v>-0.0150864805971469</v>
                </pt>
                <pt idx="23">
                  <v>-0.21523953997028</v>
                </pt>
                <pt idx="24">
                  <v>0.032423755024565626</v>
                </pt>
                <pt idx="25">
                  <v>-1.1826671529598909</v>
                </pt>
                <pt idx="26">
                  <v>3.9460485624593042</v>
                </pt>
                <pt idx="27">
                  <v>2.113127785687009</v>
                </pt>
                <pt idx="28">
                  <v>-0.17168508436868857</v>
                </pt>
                <pt idx="29">
                  <v>-0.7510386579529944</v>
                </pt>
                <pt idx="30">
                  <v>-0.047768486076767314</v>
                </pt>
                <pt idx="31">
                  <v>-2.1992090505598645</v>
                </pt>
                <pt idx="32">
                  <v>-0.3816428090675661</v>
                </pt>
                <pt idx="33">
                  <v>-3.639849144581417</v>
                </pt>
                <pt idx="34">
                  <v>3.5215004011772084</v>
                </pt>
                <pt idx="35">
                  <v>-2.7223766331935995</v>
                </pt>
                <pt idx="36">
                  <v>-1.3391152472489851</v>
                </pt>
                <pt idx="37">
                  <v>-0.7996683674246816</v>
                </pt>
                <pt idx="38">
                  <v>1.2995201212779914</v>
                </pt>
                <pt idx="39">
                  <v>-1.5130105468398385</v>
                </pt>
                <pt idx="40">
                  <v>-0.778652723367804</v>
                </pt>
                <pt idx="41">
                  <v>0.44636642413536765</v>
                </pt>
                <pt idx="42">
                  <v>0.38423360796935757</v>
                </pt>
                <pt idx="43">
                  <v>0.6788170502056234</v>
                </pt>
                <pt idx="44">
                  <v>2.7494404006454007</v>
                </pt>
                <pt idx="45">
                  <v>-0.3148496344593945</v>
                </pt>
                <pt idx="46">
                  <v>-1.5095487975253903</v>
                </pt>
                <pt idx="47">
                  <v>0.23750128599430687</v>
                </pt>
                <pt idx="48">
                  <v>-2.479068571845171</v>
                </pt>
                <pt idx="49">
                  <v>2.08736256618448</v>
                </pt>
                <pt idx="50">
                  <v>2.054803445491025</v>
                </pt>
                <pt idx="51">
                  <v>0.7971644462760641</v>
                </pt>
                <pt idx="52">
                  <v>-1.3646097716179932</v>
                </pt>
                <pt idx="53">
                  <v>-0.025454650003887913</v>
                </pt>
                <pt idx="54">
                  <v>2.6837441633326597</v>
                </pt>
                <pt idx="55">
                  <v>-0.21461147190039948</v>
                </pt>
                <pt idx="56">
                  <v>2.1813785186964116</v>
                </pt>
                <pt idx="57">
                  <v>-0.49837331212781955</v>
                </pt>
                <pt idx="58">
                  <v>0.07971670739100167</v>
                </pt>
                <pt idx="59">
                  <v>-0.049811090823201926</v>
                </pt>
                <pt idx="60">
                  <v>-1.688293417044975</v>
                </pt>
                <pt idx="61">
                  <v>3.354389413864522</v>
                </pt>
                <pt idx="62">
                  <v>-1.873677210620282</v>
                </pt>
                <pt idx="63">
                  <v>-0.6241982278429228</v>
                </pt>
                <pt idx="64">
                  <v>-0.24831927925867436</v>
                </pt>
                <pt idx="65">
                  <v>-0.7951654701998558</v>
                </pt>
                <pt idx="66">
                  <v>1.5494899724214322</v>
                </pt>
                <pt idx="67">
                  <v>0.46904702157659656</v>
                </pt>
                <pt idx="68">
                  <v>0.2742846491972882</v>
                </pt>
                <pt idx="69">
                  <v>0.9945824049209959</v>
                </pt>
                <pt idx="70">
                  <v>0.8772394266699437</v>
                </pt>
                <pt idx="71">
                  <v>0.09218942652577944</v>
                </pt>
                <pt idx="72">
                  <v>-0.2933547182700873</v>
                </pt>
                <pt idx="73">
                  <v>-0.7152693773160925</v>
                </pt>
                <pt idx="74">
                  <v>-1.3327174801665893</v>
                </pt>
                <pt idx="75">
                  <v>-0.6740962385757446</v>
                </pt>
                <pt idx="76">
                  <v>-0.97269620915832</v>
                </pt>
                <pt idx="77">
                  <v>1.3234078783072771</v>
                </pt>
                <pt idx="78">
                  <v>1.3899197251550413</v>
                </pt>
                <pt idx="79">
                  <v>-0.7095379386639338</v>
                </pt>
                <pt idx="80">
                  <v>0.06304866028318401</v>
                </pt>
                <pt idx="81">
                  <v>0.4752236468021014</v>
                </pt>
                <pt idx="82">
                  <v>1.3907652584321137</v>
                </pt>
                <pt idx="83">
                  <v>0.2760658490793576</v>
                </pt>
                <pt idx="84">
                  <v>1.0003310483534817</v>
                </pt>
                <pt idx="85">
                  <v>0.09781073925726824</v>
                </pt>
                <pt idx="86">
                  <v>-1.6738546597044248</v>
                </pt>
                <pt idx="87">
                  <v>-0.47347808555061266</v>
                </pt>
                <pt idx="88">
                  <v>0.999016285829625</v>
                </pt>
                <pt idx="89">
                  <v>-2.5409938721662906</v>
                </pt>
                <pt idx="90">
                  <v>-3.1274466170179998</v>
                </pt>
                <pt idx="91">
                  <v>-0.8009910524570778</v>
                </pt>
                <pt idx="92">
                  <v>-0.8013970723894521</v>
                </pt>
                <pt idx="93">
                  <v>-4.089865837205443</v>
                </pt>
                <pt idx="94">
                  <v>-1.064459777087523</v>
                </pt>
                <pt idx="95">
                  <v>0.7201198470583837</v>
                </pt>
                <pt idx="96">
                  <v>0.6999242272194621</v>
                </pt>
                <pt idx="97">
                  <v>-0.3888449081486334</v>
                </pt>
                <pt idx="98">
                  <v>0.45164665602455933</v>
                </pt>
                <pt idx="99">
                  <v>0.38681311561180465</v>
                </pt>
                <pt idx="100">
                  <v>-2.166171187663513</v>
                </pt>
                <pt idx="101">
                  <v>-1.0004850485301868</v>
                </pt>
                <pt idx="102">
                  <v>-2.4399956325821783</v>
                </pt>
                <pt idx="103">
                  <v>0.8007649787135248</v>
                </pt>
              </numCache>
            </numRef>
          </yVal>
          <smooth val="0"/>
        </ser>
        <axId val="10"/>
        <axId val="20"/>
      </scatterChart>
      <valAx>
        <axId val="10"/>
        <scaling>
          <orientation val="minMax"/>
          <max val="4"/>
          <min val="-4"/>
        </scaling>
        <delete val="0"/>
        <axPos val="l"/>
        <majorGridlines>
          <spPr>
            <a:ln xmlns:a="http://schemas.openxmlformats.org/drawingml/2006/main" w="9525">
              <a:solidFill>
                <a:srgbClr val="E4E3DF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  <a:cs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  <a:cs typeface="Arial"/>
                  </a:rPr>
                  <a:t>Predicted goal difference (cross-validated)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  <a:cs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  <a:cs typeface="Arial"/>
            </a:endParaRPr>
          </a:p>
        </txPr>
        <crossAx val="20"/>
        <crosses val="autoZero"/>
        <majorUnit val="1"/>
      </valAx>
      <valAx>
        <axId val="20"/>
        <scaling>
          <orientation val="minMax"/>
          <max val="5"/>
          <min val="-5"/>
        </scaling>
        <delete val="0"/>
        <axPos val="l"/>
        <majorGridlines>
          <spPr>
            <a:ln xmlns:a="http://schemas.openxmlformats.org/drawingml/2006/main" w="9525">
              <a:solidFill>
                <a:srgbClr val="E4E3DF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  <a:cs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  <a:cs typeface="Arial"/>
                  </a:rPr>
                  <a:t>Residual (actual − predicted)</a:t>
                </a:r>
              </a:p>
            </rich>
          </tx>
          <overlay val="0"/>
        </title>
        <numFmt formatCode="0" sourceLinked="0"/>
        <majorTickMark val="out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  <a:cs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  <a:cs typeface="Arial"/>
            </a:endParaRPr>
          </a:p>
        </txPr>
        <crossAx val="10"/>
        <crosses val="min"/>
        <majorUnit val="1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latin typeface="Arial"/>
          <a:cs typeface="Arial"/>
        </a:defRPr>
      </a:pPr>
      <a:endParaRPr lang="en-GB"/>
    </a:p>
  </txPr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B0B0B"/>
                </a:solidFill>
                <a:latin typeface="Arial"/>
                <a:cs typeface="Arial"/>
              </a:defRPr>
            </a:pPr>
            <a:r>
              <a:rPr sz="1200" b="1">
                <a:solidFill>
                  <a:srgbClr val="0B0B0B"/>
                </a:solidFill>
                <a:latin typeface="Arial"/>
                <a:cs typeface="Arial"/>
              </a:rPr>
              <a:t>Standardised coefficients with 95% confidence intervals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Standardised coefficient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invertIfNegative val="0"/>
          <dPt>
            <idx val="0"/>
            <invertIfNegative val="0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prstDash val="solid"/>
              </a:ln>
            </spPr>
          </dPt>
          <dPt>
            <idx val="5"/>
            <invertIfNegative val="0"/>
            <spPr>
              <a:solidFill xmlns:a="http://schemas.openxmlformats.org/drawingml/2006/main">
                <a:srgbClr val="E34948"/>
              </a:solidFill>
              <a:ln xmlns:a="http://schemas.openxmlformats.org/drawingml/2006/main">
                <a:prstDash val="solid"/>
              </a:ln>
            </spPr>
          </dPt>
          <dPt>
            <idx val="6"/>
            <invertIfNegative val="0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prstDash val="solid"/>
              </a:ln>
            </spPr>
          </dPt>
          <dPt>
            <idx val="7"/>
            <invertIfNegative val="0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prstDash val="solid"/>
              </a:ln>
            </spPr>
          </dPt>
          <errBars>
            <errBarType val="both"/>
            <errValType val="cust"/>
            <noEndCap val="0"/>
            <plus>
              <numRef>
                <f>'Model'!$G$26:$G$33</f>
                <numCache>
                  <formatCode>General</formatCode>
                  <ptCount val="8"/>
                  <pt idx="0">
                    <v>0.6638285287359597</v>
                  </pt>
                  <pt idx="1">
                    <v>1.0306499720107865</v>
                  </pt>
                  <pt idx="2">
                    <v>0.41656991373520075</v>
                  </pt>
                  <pt idx="3">
                    <v>0.31403958629203116</v>
                  </pt>
                  <pt idx="4">
                    <v>0.4659846282589528</v>
                  </pt>
                  <pt idx="5">
                    <v>0.31067983548917777</v>
                  </pt>
                  <pt idx="6">
                    <v>0.9725675851504616</v>
                  </pt>
                  <pt idx="7">
                    <v>0.2943467913231341</v>
                  </pt>
                </numCache>
              </numRef>
            </plus>
            <minus>
              <numRef>
                <f>'Model'!$F$26:$F$33</f>
                <numCache>
                  <formatCode>General</formatCode>
                  <ptCount val="8"/>
                  <pt idx="0">
                    <v>0.6638285287359597</v>
                  </pt>
                  <pt idx="1">
                    <v>1.0306499720107865</v>
                  </pt>
                  <pt idx="2">
                    <v>0.4165699137352007</v>
                  </pt>
                  <pt idx="3">
                    <v>0.3140395862920312</v>
                  </pt>
                  <pt idx="4">
                    <v>0.46598462825895276</v>
                  </pt>
                  <pt idx="5">
                    <v>0.31067983548917777</v>
                  </pt>
                  <pt idx="6">
                    <v>0.9725675851504616</v>
                  </pt>
                  <pt idx="7">
                    <v>0.2943467913231341</v>
                  </pt>
                </numCache>
              </numRef>
            </minus>
            <spPr>
              <a:ln xmlns:a="http://schemas.openxmlformats.org/drawingml/2006/main" w="9525">
                <a:solidFill>
                  <a:srgbClr val="0B0B0B"/>
                </a:solidFill>
                <a:prstDash val="solid"/>
              </a:ln>
            </spPr>
          </errBars>
          <cat>
            <strRef>
              <f>'Model'!$A$26:$A$33</f>
              <strCache>
                <ptCount val="8"/>
                <pt idx="0">
                  <v>log_value_diff</v>
                </pt>
                <pt idx="1">
                  <v>elo_diff</v>
                </pt>
                <pt idx="2">
                  <v>age_diff</v>
                </pt>
                <pt idx="3">
                  <v>host_diff</v>
                </pt>
                <pt idx="4">
                  <v>caps_diff</v>
                </pt>
                <pt idx="5">
                  <v>goals_conceded_diff</v>
                </pt>
                <pt idx="6">
                  <v>fifa_rank_diff</v>
                </pt>
                <pt idx="7">
                  <v>rest_days_diff</v>
                </pt>
              </strCache>
            </strRef>
          </cat>
          <val>
            <numRef>
              <f>'Model'!$B$26:$B$33</f>
              <numCache>
                <formatCode>General</formatCode>
                <ptCount val="8"/>
                <pt idx="0">
                  <v>0.8594360235916764</v>
                </pt>
                <pt idx="1">
                  <v>0.742592547182452</v>
                </pt>
                <pt idx="2">
                  <v>0.367725065039785</v>
                </pt>
                <pt idx="3">
                  <v>0.35813634765001773</v>
                </pt>
                <pt idx="4">
                  <v>-0.2572579188377226</v>
                </pt>
                <pt idx="5">
                  <v>-0.15372341492036398</v>
                </pt>
                <pt idx="6">
                  <v>0.13248869045607983</v>
                </pt>
                <pt idx="7">
                  <v>0.04612404415034533</v>
                </pt>
              </numCache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spPr>
          <a:ln xmlns:a="http://schemas.openxmlformats.org/drawingml/2006/main" w="12700">
            <a:solidFill>
              <a:srgbClr val="595959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  <a:cs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  <a:cs typeface="Arial"/>
            </a:endParaRPr>
          </a:p>
        </txPr>
        <crossAx val="100"/>
        <lblOffset val="100"/>
      </catAx>
      <valAx>
        <axId val="100"/>
        <scaling>
          <orientation val="minMax"/>
          <max val="2"/>
          <min val="-1"/>
        </scaling>
        <delete val="0"/>
        <axPos val="l"/>
        <majorGridlines>
          <spPr>
            <a:ln xmlns:a="http://schemas.openxmlformats.org/drawingml/2006/main" w="9525">
              <a:solidFill>
                <a:srgbClr val="E4E3DF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595959"/>
                    </a:solidFill>
                    <a:latin typeface="Arial"/>
                    <a:cs typeface="Arial"/>
                  </a:defRPr>
                </a:pPr>
                <a:r>
                  <a:rPr sz="900" b="0">
                    <a:solidFill>
                      <a:srgbClr val="595959"/>
                    </a:solidFill>
                    <a:latin typeface="Arial"/>
                    <a:cs typeface="Arial"/>
                  </a:rPr>
                  <a:t>Standardised coefficient (goals per 1 SD increase)</a:t>
                </a:r>
              </a:p>
            </rich>
          </tx>
          <overlay val="0"/>
        </title>
        <numFmt formatCode="0.0" sourceLinked="0"/>
        <majorTickMark val="out"/>
        <minorTickMark val="none"/>
        <spPr>
          <a:ln xmlns:a="http://schemas.openxmlformats.org/drawingml/2006/main" w="9525">
            <a:solidFill>
              <a:srgbClr val="BFBFBF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595959"/>
                </a:solidFill>
                <a:latin typeface="Arial"/>
                <a:cs typeface="Arial"/>
              </a:defRPr>
            </a:pPr>
            <a:r>
              <a:t/>
            </a:r>
            <a:endParaRPr sz="900" b="0">
              <a:solidFill>
                <a:srgbClr val="595959"/>
              </a:solidFill>
              <a:latin typeface="Arial"/>
              <a:cs typeface="Arial"/>
            </a:endParaRPr>
          </a:p>
        </txPr>
        <crossAx val="10"/>
        <crosses val="max"/>
        <majorUnit val="0.5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latin typeface="Arial"/>
          <a:cs typeface="Arial"/>
        </a:defRPr>
      </a:pPr>
      <a:endParaRPr lang="en-GB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46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612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41</row>
      <rowOff>0</rowOff>
    </from>
    <ext cx="612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2.1 Part 2: model charts</t>
        </is>
      </c>
    </row>
    <row r="2">
      <c r="A2" s="2" t="inlineStr">
        <is>
          <t>Native Excel charts linked to the Predictions, Model and Metrics sheets.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22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1" customWidth="1" min="13" max="13"/>
    <col width="11" customWidth="1" min="14" max="14"/>
    <col width="12" customWidth="1" min="15" max="15"/>
    <col width="11" customWidth="1" min="16" max="16"/>
    <col width="14" customWidth="1" min="17" max="17"/>
    <col width="12" customWidth="1" min="18" max="18"/>
  </cols>
  <sheetData>
    <row r="1">
      <c r="A1" s="3" t="inlineStr">
        <is>
          <t>match_id</t>
        </is>
      </c>
      <c r="B1" s="3" t="inlineStr">
        <is>
          <t>home_team</t>
        </is>
      </c>
      <c r="C1" s="3" t="inlineStr">
        <is>
          <t>away_team</t>
        </is>
      </c>
      <c r="D1" s="3" t="inlineStr">
        <is>
          <t>cv_fold</t>
        </is>
      </c>
      <c r="E1" s="3" t="inlineStr">
        <is>
          <t>fifa_rank_diff</t>
        </is>
      </c>
      <c r="F1" s="3" t="inlineStr">
        <is>
          <t>elo_diff</t>
        </is>
      </c>
      <c r="G1" s="3" t="inlineStr">
        <is>
          <t>log_value_diff</t>
        </is>
      </c>
      <c r="H1" s="3" t="inlineStr">
        <is>
          <t>host_diff</t>
        </is>
      </c>
      <c r="I1" s="3" t="inlineStr">
        <is>
          <t>age_diff</t>
        </is>
      </c>
      <c r="J1" s="3" t="inlineStr">
        <is>
          <t>caps_diff</t>
        </is>
      </c>
      <c r="K1" s="3" t="inlineStr">
        <is>
          <t>rest_days_diff</t>
        </is>
      </c>
      <c r="L1" s="3" t="inlineStr">
        <is>
          <t>goals_conceded_diff</t>
        </is>
      </c>
      <c r="M1" s="3" t="inlineStr">
        <is>
          <t>goal_diff (actual)</t>
        </is>
      </c>
      <c r="N1" s="3" t="inlineStr">
        <is>
          <t>fitted (all 104)</t>
        </is>
      </c>
      <c r="O1" s="3" t="inlineStr">
        <is>
          <t>cv_predicted</t>
        </is>
      </c>
      <c r="P1" s="3" t="inlineStr">
        <is>
          <t>cv_residual</t>
        </is>
      </c>
      <c r="Q1" s="3" t="inlineStr">
        <is>
          <t>cv_baseline_pred</t>
        </is>
      </c>
      <c r="R1" s="3" t="inlineStr">
        <is>
          <t>cv_elo_pred</t>
        </is>
      </c>
      <c r="T1" s="2" t="inlineStr">
        <is>
          <t>Blue = values from task2.1_part2.py (10-fold cross-validation, KFold shuffle, random_state = 42).</t>
        </is>
      </c>
    </row>
    <row r="2">
      <c r="A2" s="4" t="n">
        <v>1</v>
      </c>
      <c r="B2" s="4" t="inlineStr">
        <is>
          <t>Mexico</t>
        </is>
      </c>
      <c r="C2" s="4" t="inlineStr">
        <is>
          <t>South Africa</t>
        </is>
      </c>
      <c r="D2" s="4" t="n">
        <v>1</v>
      </c>
      <c r="E2" s="5" t="n">
        <v>-46</v>
      </c>
      <c r="F2" s="6" t="n">
        <v>190</v>
      </c>
      <c r="G2" s="6" t="n">
        <v>1.359804449074865</v>
      </c>
      <c r="H2" s="5" t="n">
        <v>1</v>
      </c>
      <c r="I2" s="6" t="n">
        <v>1.092297162112366</v>
      </c>
      <c r="J2" s="5" t="n">
        <v>699</v>
      </c>
      <c r="K2" s="6" t="n">
        <v>0</v>
      </c>
      <c r="L2" s="6" t="n">
        <v>0</v>
      </c>
      <c r="M2" s="5" t="n">
        <v>2</v>
      </c>
      <c r="N2" s="7">
        <f>Model!$B$5+SUMPRODUCT(E2:L2,Model!$C$5:$J$5)</f>
        <v>1.9126733558707456</v>
      </c>
      <c r="O2" s="8" t="n">
        <v>2.242920197547882</v>
      </c>
      <c r="P2" s="7">
        <f>M2-O2</f>
        <v>-0.24292019754788186</v>
      </c>
      <c r="Q2" s="8" t="n">
        <v>0.4838709677419355</v>
      </c>
      <c r="R2" s="8" t="n">
        <v>1.216547615092878</v>
      </c>
      <c r="T2" s="2" t="inlineStr">
        <is>
          <t>Black = Excel formulas.</t>
        </is>
      </c>
    </row>
    <row r="3">
      <c r="A3" s="4" t="n">
        <v>2</v>
      </c>
      <c r="B3" s="4" t="inlineStr">
        <is>
          <t>South Korea</t>
        </is>
      </c>
      <c r="C3" s="4" t="inlineStr">
        <is>
          <t>Czechia</t>
        </is>
      </c>
      <c r="D3" s="4" t="n">
        <v>9</v>
      </c>
      <c r="E3" s="5" t="n">
        <v>-18</v>
      </c>
      <c r="F3" s="6" t="n">
        <v>60</v>
      </c>
      <c r="G3" s="6" t="n">
        <v>-0.3025653708986446</v>
      </c>
      <c r="H3" s="5" t="n">
        <v>0</v>
      </c>
      <c r="I3" s="6" t="n">
        <v>0.4449007529089677</v>
      </c>
      <c r="J3" s="5" t="n">
        <v>236</v>
      </c>
      <c r="K3" s="6" t="n">
        <v>0</v>
      </c>
      <c r="L3" s="6" t="n">
        <v>0</v>
      </c>
      <c r="M3" s="5" t="n">
        <v>1</v>
      </c>
      <c r="N3" s="7">
        <f>Model!$B$5+SUMPRODUCT(E3:L3,Model!$C$5:$J$5)</f>
        <v>-0.03800386431376834</v>
      </c>
      <c r="O3" s="8" t="n">
        <v>-0.003079736191271859</v>
      </c>
      <c r="P3" s="7">
        <f>M3-O3</f>
        <v>1.0030797361912718</v>
      </c>
      <c r="Q3" s="8" t="n">
        <v>0.574468085106383</v>
      </c>
      <c r="R3" s="8" t="n">
        <v>0.5496950298402246</v>
      </c>
    </row>
    <row r="4">
      <c r="A4" s="4" t="n">
        <v>3</v>
      </c>
      <c r="B4" s="4" t="inlineStr">
        <is>
          <t>Canada</t>
        </is>
      </c>
      <c r="C4" s="4" t="inlineStr">
        <is>
          <t>Bosnia and Herzegovina</t>
        </is>
      </c>
      <c r="D4" s="4" t="n">
        <v>9</v>
      </c>
      <c r="E4" s="5" t="n">
        <v>-31</v>
      </c>
      <c r="F4" s="6" t="n">
        <v>150</v>
      </c>
      <c r="G4" s="6" t="n">
        <v>0.3052018807333958</v>
      </c>
      <c r="H4" s="5" t="n">
        <v>1</v>
      </c>
      <c r="I4" s="6" t="n">
        <v>0.5161901753277576</v>
      </c>
      <c r="J4" s="5" t="n">
        <v>360</v>
      </c>
      <c r="K4" s="6" t="n">
        <v>0</v>
      </c>
      <c r="L4" s="6" t="n">
        <v>0</v>
      </c>
      <c r="M4" s="5" t="n">
        <v>0</v>
      </c>
      <c r="N4" s="7">
        <f>Model!$B$5+SUMPRODUCT(E4:L4,Model!$C$5:$J$5)</f>
        <v>1.4455930184419603</v>
      </c>
      <c r="O4" s="8" t="n">
        <v>1.580369109248539</v>
      </c>
      <c r="P4" s="7">
        <f>M4-O4</f>
        <v>-1.5803691092485392</v>
      </c>
      <c r="Q4" s="8" t="n">
        <v>0.574468085106383</v>
      </c>
      <c r="R4" s="8" t="n">
        <v>1.04869514305856</v>
      </c>
    </row>
    <row r="5">
      <c r="A5" s="4" t="n">
        <v>4</v>
      </c>
      <c r="B5" s="4" t="inlineStr">
        <is>
          <t>USA</t>
        </is>
      </c>
      <c r="C5" s="4" t="inlineStr">
        <is>
          <t>Paraguay</t>
        </is>
      </c>
      <c r="D5" s="4" t="n">
        <v>6</v>
      </c>
      <c r="E5" s="5" t="n">
        <v>-37</v>
      </c>
      <c r="F5" s="6" t="n">
        <v>125</v>
      </c>
      <c r="G5" s="6" t="n">
        <v>0.9201232741598986</v>
      </c>
      <c r="H5" s="5" t="n">
        <v>1</v>
      </c>
      <c r="I5" s="6" t="n">
        <v>-2.09761491075659</v>
      </c>
      <c r="J5" s="5" t="n">
        <v>272</v>
      </c>
      <c r="K5" s="6" t="n">
        <v>0</v>
      </c>
      <c r="L5" s="6" t="n">
        <v>0</v>
      </c>
      <c r="M5" s="5" t="n">
        <v>3</v>
      </c>
      <c r="N5" s="7">
        <f>Model!$B$5+SUMPRODUCT(E5:L5,Model!$C$5:$J$5)</f>
        <v>1.0801951974547244</v>
      </c>
      <c r="O5" s="8" t="n">
        <v>0.7734537095142033</v>
      </c>
      <c r="P5" s="7">
        <f>M5-O5</f>
        <v>2.2265462904857967</v>
      </c>
      <c r="Q5" s="8" t="n">
        <v>0.4042553191489361</v>
      </c>
      <c r="R5" s="8" t="n">
        <v>0.7900897319517787</v>
      </c>
    </row>
    <row r="6">
      <c r="A6" s="4" t="n">
        <v>5</v>
      </c>
      <c r="B6" s="4" t="inlineStr">
        <is>
          <t>Qatar</t>
        </is>
      </c>
      <c r="C6" s="4" t="inlineStr">
        <is>
          <t>Switzerland</t>
        </is>
      </c>
      <c r="D6" s="4" t="n">
        <v>2</v>
      </c>
      <c r="E6" s="5" t="n">
        <v>37</v>
      </c>
      <c r="F6" s="6" t="n">
        <v>-260</v>
      </c>
      <c r="G6" s="6" t="n">
        <v>-2.814413725871205</v>
      </c>
      <c r="H6" s="5" t="n">
        <v>0</v>
      </c>
      <c r="I6" s="6" t="n">
        <v>1.200652872110783</v>
      </c>
      <c r="J6" s="5" t="n">
        <v>438</v>
      </c>
      <c r="K6" s="6" t="n">
        <v>0</v>
      </c>
      <c r="L6" s="6" t="n">
        <v>0</v>
      </c>
      <c r="M6" s="5" t="n">
        <v>0</v>
      </c>
      <c r="N6" s="7">
        <f>Model!$B$5+SUMPRODUCT(E6:L6,Model!$C$5:$J$5)</f>
        <v>-2.0931301143260974</v>
      </c>
      <c r="O6" s="8" t="n">
        <v>-2.038566389519335</v>
      </c>
      <c r="P6" s="7">
        <f>M6-O6</f>
        <v>2.038566389519335</v>
      </c>
      <c r="Q6" s="8" t="n">
        <v>0.4623655913978494</v>
      </c>
      <c r="R6" s="8" t="n">
        <v>-1.451330173995213</v>
      </c>
    </row>
    <row r="7">
      <c r="A7" s="4" t="n">
        <v>6</v>
      </c>
      <c r="B7" s="4" t="inlineStr">
        <is>
          <t>Brazil</t>
        </is>
      </c>
      <c r="C7" s="4" t="inlineStr">
        <is>
          <t>Morocco</t>
        </is>
      </c>
      <c r="D7" s="4" t="n">
        <v>4</v>
      </c>
      <c r="E7" s="5" t="n">
        <v>-1</v>
      </c>
      <c r="F7" s="6" t="n">
        <v>110</v>
      </c>
      <c r="G7" s="6" t="n">
        <v>0.7451549839762421</v>
      </c>
      <c r="H7" s="5" t="n">
        <v>0</v>
      </c>
      <c r="I7" s="6" t="n">
        <v>2.764070973516557</v>
      </c>
      <c r="J7" s="5" t="n">
        <v>209</v>
      </c>
      <c r="K7" s="6" t="n">
        <v>0</v>
      </c>
      <c r="L7" s="6" t="n">
        <v>0</v>
      </c>
      <c r="M7" s="5" t="n">
        <v>0</v>
      </c>
      <c r="N7" s="7">
        <f>Model!$B$5+SUMPRODUCT(E7:L7,Model!$C$5:$J$5)</f>
        <v>1.3238383235077769</v>
      </c>
      <c r="O7" s="8" t="n">
        <v>1.493320645570516</v>
      </c>
      <c r="P7" s="7">
        <f>M7-O7</f>
        <v>-1.493320645570516</v>
      </c>
      <c r="Q7" s="8" t="n">
        <v>0.5053763440860215</v>
      </c>
      <c r="R7" s="8" t="n">
        <v>0.789197851157039</v>
      </c>
    </row>
    <row r="8">
      <c r="A8" s="4" t="n">
        <v>7</v>
      </c>
      <c r="B8" s="4" t="inlineStr">
        <is>
          <t>Haiti</t>
        </is>
      </c>
      <c r="C8" s="4" t="inlineStr">
        <is>
          <t>Scotland</t>
        </is>
      </c>
      <c r="D8" s="4" t="n">
        <v>6</v>
      </c>
      <c r="E8" s="5" t="n">
        <v>44</v>
      </c>
      <c r="F8" s="6" t="n">
        <v>-190</v>
      </c>
      <c r="G8" s="6" t="n">
        <v>-1.113703564868569</v>
      </c>
      <c r="H8" s="5" t="n">
        <v>0</v>
      </c>
      <c r="I8" s="6" t="n">
        <v>-1.694308429421366</v>
      </c>
      <c r="J8" s="5" t="n">
        <v>-346</v>
      </c>
      <c r="K8" s="6" t="n">
        <v>0</v>
      </c>
      <c r="L8" s="6" t="n">
        <v>0</v>
      </c>
      <c r="M8" s="5" t="n">
        <v>-1</v>
      </c>
      <c r="N8" s="7">
        <f>Model!$B$5+SUMPRODUCT(E8:L8,Model!$C$5:$J$5)</f>
        <v>-1.0409023217136053</v>
      </c>
      <c r="O8" s="8" t="n">
        <v>-0.8557612827953014</v>
      </c>
      <c r="P8" s="7">
        <f>M8-O8</f>
        <v>-0.1442387172046986</v>
      </c>
      <c r="Q8" s="8" t="n">
        <v>0.4042553191489361</v>
      </c>
      <c r="R8" s="8" t="n">
        <v>-0.8384999990663493</v>
      </c>
    </row>
    <row r="9">
      <c r="A9" s="4" t="n">
        <v>8</v>
      </c>
      <c r="B9" s="4" t="inlineStr">
        <is>
          <t>Australia</t>
        </is>
      </c>
      <c r="C9" s="4" t="inlineStr">
        <is>
          <t>Türkiye</t>
        </is>
      </c>
      <c r="D9" s="4" t="n">
        <v>5</v>
      </c>
      <c r="E9" s="5" t="n">
        <v>1</v>
      </c>
      <c r="F9" s="6" t="n">
        <v>10</v>
      </c>
      <c r="G9" s="6" t="n">
        <v>-1.81094164306683</v>
      </c>
      <c r="H9" s="5" t="n">
        <v>0</v>
      </c>
      <c r="I9" s="6" t="n">
        <v>-0.3127468014531658</v>
      </c>
      <c r="J9" s="5" t="n">
        <v>-238</v>
      </c>
      <c r="K9" s="6" t="n">
        <v>0</v>
      </c>
      <c r="L9" s="6" t="n">
        <v>0</v>
      </c>
      <c r="M9" s="5" t="n">
        <v>2</v>
      </c>
      <c r="N9" s="7">
        <f>Model!$B$5+SUMPRODUCT(E9:L9,Model!$C$5:$J$5)</f>
        <v>-0.6856303786095391</v>
      </c>
      <c r="O9" s="8" t="n">
        <v>-1.18866642971175</v>
      </c>
      <c r="P9" s="7">
        <f>M9-O9</f>
        <v>3.18866642971175</v>
      </c>
      <c r="Q9" s="8" t="n">
        <v>0.4042553191489361</v>
      </c>
      <c r="R9" s="8" t="n">
        <v>0.1348201283244263</v>
      </c>
    </row>
    <row r="10">
      <c r="A10" s="4" t="n">
        <v>9</v>
      </c>
      <c r="B10" s="4" t="inlineStr">
        <is>
          <t>Germany</t>
        </is>
      </c>
      <c r="C10" s="4" t="inlineStr">
        <is>
          <t>Curaçao</t>
        </is>
      </c>
      <c r="D10" s="4" t="n">
        <v>6</v>
      </c>
      <c r="E10" s="5" t="n">
        <v>-72</v>
      </c>
      <c r="F10" s="6" t="n">
        <v>450</v>
      </c>
      <c r="G10" s="6" t="n">
        <v>3.603700095675034</v>
      </c>
      <c r="H10" s="5" t="n">
        <v>0</v>
      </c>
      <c r="I10" s="6" t="n">
        <v>0.0257989785710499</v>
      </c>
      <c r="J10" s="5" t="n">
        <v>225</v>
      </c>
      <c r="K10" s="6" t="n">
        <v>0</v>
      </c>
      <c r="L10" s="6" t="n">
        <v>0</v>
      </c>
      <c r="M10" s="5" t="n">
        <v>6</v>
      </c>
      <c r="N10" s="7">
        <f>Model!$B$5+SUMPRODUCT(E10:L10,Model!$C$5:$J$5)</f>
        <v>2.8795016711766506</v>
      </c>
      <c r="O10" s="8" t="n">
        <v>2.530869898293695</v>
      </c>
      <c r="P10" s="7">
        <f>M10-O10</f>
        <v>3.4691301017063054</v>
      </c>
      <c r="Q10" s="8" t="n">
        <v>0.4042553191489361</v>
      </c>
      <c r="R10" s="8" t="n">
        <v>2.470380724272069</v>
      </c>
    </row>
    <row r="11">
      <c r="A11" s="4" t="n">
        <v>10</v>
      </c>
      <c r="B11" s="4" t="inlineStr">
        <is>
          <t>Netherlands</t>
        </is>
      </c>
      <c r="C11" s="4" t="inlineStr">
        <is>
          <t>Japan</t>
        </is>
      </c>
      <c r="D11" s="4" t="n">
        <v>3</v>
      </c>
      <c r="E11" s="5" t="n">
        <v>-10</v>
      </c>
      <c r="F11" s="6" t="n">
        <v>100</v>
      </c>
      <c r="G11" s="6" t="n">
        <v>1.024092422720347</v>
      </c>
      <c r="H11" s="5" t="n">
        <v>0</v>
      </c>
      <c r="I11" s="6" t="n">
        <v>0.2792607802874798</v>
      </c>
      <c r="J11" s="5" t="n">
        <v>54</v>
      </c>
      <c r="K11" s="6" t="n">
        <v>0</v>
      </c>
      <c r="L11" s="6" t="n">
        <v>0</v>
      </c>
      <c r="M11" s="5" t="n">
        <v>0</v>
      </c>
      <c r="N11" s="7">
        <f>Model!$B$5+SUMPRODUCT(E11:L11,Model!$C$5:$J$5)</f>
        <v>0.909734972180436</v>
      </c>
      <c r="O11" s="8" t="n">
        <v>0.8478755875415585</v>
      </c>
      <c r="P11" s="7">
        <f>M11-O11</f>
        <v>-0.8478755875415585</v>
      </c>
      <c r="Q11" s="8" t="n">
        <v>0.3870967741935484</v>
      </c>
      <c r="R11" s="8" t="n">
        <v>0.6739754080245668</v>
      </c>
    </row>
    <row r="12">
      <c r="A12" s="4" t="n">
        <v>11</v>
      </c>
      <c r="B12" s="4" t="inlineStr">
        <is>
          <t>Côte d'Ivoire</t>
        </is>
      </c>
      <c r="C12" s="4" t="inlineStr">
        <is>
          <t>Ecuador</t>
        </is>
      </c>
      <c r="D12" s="4" t="n">
        <v>1</v>
      </c>
      <c r="E12" s="5" t="n">
        <v>15</v>
      </c>
      <c r="F12" s="6" t="n">
        <v>-120</v>
      </c>
      <c r="G12" s="6" t="n">
        <v>0.3478758351764064</v>
      </c>
      <c r="H12" s="5" t="n">
        <v>0</v>
      </c>
      <c r="I12" s="6" t="n">
        <v>-0.2286105407255263</v>
      </c>
      <c r="J12" s="5" t="n">
        <v>-63</v>
      </c>
      <c r="K12" s="6" t="n">
        <v>0</v>
      </c>
      <c r="L12" s="6" t="n">
        <v>0</v>
      </c>
      <c r="M12" s="5" t="n">
        <v>1</v>
      </c>
      <c r="N12" s="7">
        <f>Model!$B$5+SUMPRODUCT(E12:L12,Model!$C$5:$J$5)</f>
        <v>-0.05749593795796701</v>
      </c>
      <c r="O12" s="8" t="n">
        <v>0.002157612409411092</v>
      </c>
      <c r="P12" s="7">
        <f>M12-O12</f>
        <v>0.9978423875905889</v>
      </c>
      <c r="Q12" s="8" t="n">
        <v>0.4838709677419355</v>
      </c>
      <c r="R12" s="8" t="n">
        <v>-0.5162717239659963</v>
      </c>
    </row>
    <row r="13">
      <c r="A13" s="4" t="n">
        <v>12</v>
      </c>
      <c r="B13" s="4" t="inlineStr">
        <is>
          <t>Sweden</t>
        </is>
      </c>
      <c r="C13" s="4" t="inlineStr">
        <is>
          <t>Tunisia</t>
        </is>
      </c>
      <c r="D13" s="4" t="n">
        <v>3</v>
      </c>
      <c r="E13" s="5" t="n">
        <v>-20</v>
      </c>
      <c r="F13" s="6" t="n">
        <v>105</v>
      </c>
      <c r="G13" s="6" t="n">
        <v>1.758769483414532</v>
      </c>
      <c r="H13" s="5" t="n">
        <v>0</v>
      </c>
      <c r="I13" s="6" t="n">
        <v>0.912441425788444</v>
      </c>
      <c r="J13" s="5" t="n">
        <v>-65</v>
      </c>
      <c r="K13" s="6" t="n">
        <v>0</v>
      </c>
      <c r="L13" s="6" t="n">
        <v>0</v>
      </c>
      <c r="M13" s="5" t="n">
        <v>4</v>
      </c>
      <c r="N13" s="7">
        <f>Model!$B$5+SUMPRODUCT(E13:L13,Model!$C$5:$J$5)</f>
        <v>1.5200216781863405</v>
      </c>
      <c r="O13" s="8" t="n">
        <v>1.423800153331924</v>
      </c>
      <c r="P13" s="7">
        <f>M13-O13</f>
        <v>2.576199846668076</v>
      </c>
      <c r="Q13" s="8" t="n">
        <v>0.3870967741935484</v>
      </c>
      <c r="R13" s="8" t="n">
        <v>0.7013392161746024</v>
      </c>
    </row>
    <row r="14">
      <c r="A14" s="4" t="n">
        <v>13</v>
      </c>
      <c r="B14" s="4" t="inlineStr">
        <is>
          <t>Spain</t>
        </is>
      </c>
      <c r="C14" s="4" t="inlineStr">
        <is>
          <t>Cabo Verde</t>
        </is>
      </c>
      <c r="D14" s="4" t="n">
        <v>2</v>
      </c>
      <c r="E14" s="5" t="n">
        <v>-65</v>
      </c>
      <c r="F14" s="6" t="n">
        <v>480</v>
      </c>
      <c r="G14" s="6" t="n">
        <v>3.209696770109208</v>
      </c>
      <c r="H14" s="5" t="n">
        <v>0</v>
      </c>
      <c r="I14" s="6" t="n">
        <v>-2.928973832464585</v>
      </c>
      <c r="J14" s="5" t="n">
        <v>-83</v>
      </c>
      <c r="K14" s="6" t="n">
        <v>0</v>
      </c>
      <c r="L14" s="6" t="n">
        <v>0</v>
      </c>
      <c r="M14" s="5" t="n">
        <v>0</v>
      </c>
      <c r="N14" s="7">
        <f>Model!$B$5+SUMPRODUCT(E14:L14,Model!$C$5:$J$5)</f>
        <v>2.3197665726614285</v>
      </c>
      <c r="O14" s="8" t="n">
        <v>2.571646528691035</v>
      </c>
      <c r="P14" s="7">
        <f>M14-O14</f>
        <v>-2.571646528691035</v>
      </c>
      <c r="Q14" s="8" t="n">
        <v>0.4623655913978494</v>
      </c>
      <c r="R14" s="8" t="n">
        <v>2.977067357085841</v>
      </c>
    </row>
    <row r="15">
      <c r="A15" s="4" t="n">
        <v>14</v>
      </c>
      <c r="B15" s="4" t="inlineStr">
        <is>
          <t>Belgium</t>
        </is>
      </c>
      <c r="C15" s="4" t="inlineStr">
        <is>
          <t>Egypt</t>
        </is>
      </c>
      <c r="D15" s="4" t="n">
        <v>6</v>
      </c>
      <c r="E15" s="5" t="n">
        <v>-27</v>
      </c>
      <c r="F15" s="6" t="n">
        <v>220</v>
      </c>
      <c r="G15" s="6" t="n">
        <v>1.547642877242279</v>
      </c>
      <c r="H15" s="5" t="n">
        <v>0</v>
      </c>
      <c r="I15" s="6" t="n">
        <v>-1.444426894118873</v>
      </c>
      <c r="J15" s="5" t="n">
        <v>254</v>
      </c>
      <c r="K15" s="6" t="n">
        <v>0</v>
      </c>
      <c r="L15" s="6" t="n">
        <v>0</v>
      </c>
      <c r="M15" s="5" t="n">
        <v>0</v>
      </c>
      <c r="N15" s="7">
        <f>Model!$B$5+SUMPRODUCT(E15:L15,Model!$C$5:$J$5)</f>
        <v>0.890351369152625</v>
      </c>
      <c r="O15" s="8" t="n">
        <v>0.8252976943299724</v>
      </c>
      <c r="P15" s="7">
        <f>M15-O15</f>
        <v>-0.8252976943299724</v>
      </c>
      <c r="Q15" s="8" t="n">
        <v>0.4042553191489361</v>
      </c>
      <c r="R15" s="8" t="n">
        <v>1.281251714322325</v>
      </c>
    </row>
    <row r="16">
      <c r="A16" s="4" t="n">
        <v>15</v>
      </c>
      <c r="B16" s="4" t="inlineStr">
        <is>
          <t>Saudi Arabia</t>
        </is>
      </c>
      <c r="C16" s="4" t="inlineStr">
        <is>
          <t>Uruguay</t>
        </is>
      </c>
      <c r="D16" s="4" t="n">
        <v>10</v>
      </c>
      <c r="E16" s="5" t="n">
        <v>42</v>
      </c>
      <c r="F16" s="6" t="n">
        <v>-300</v>
      </c>
      <c r="G16" s="6" t="n">
        <v>-2.178421122939113</v>
      </c>
      <c r="H16" s="5" t="n">
        <v>0</v>
      </c>
      <c r="I16" s="6" t="n">
        <v>-0.2261885957984653</v>
      </c>
      <c r="J16" s="5" t="n">
        <v>0</v>
      </c>
      <c r="K16" s="6" t="n">
        <v>0</v>
      </c>
      <c r="L16" s="6" t="n">
        <v>0</v>
      </c>
      <c r="M16" s="5" t="n">
        <v>0</v>
      </c>
      <c r="N16" s="7">
        <f>Model!$B$5+SUMPRODUCT(E16:L16,Model!$C$5:$J$5)</f>
        <v>-1.8626630872739307</v>
      </c>
      <c r="O16" s="8" t="n">
        <v>-1.881213963586029</v>
      </c>
      <c r="P16" s="7">
        <f>M16-O16</f>
        <v>1.8812139635860285</v>
      </c>
      <c r="Q16" s="8" t="n">
        <v>0.5212765957446809</v>
      </c>
      <c r="R16" s="8" t="n">
        <v>-1.560186683760455</v>
      </c>
    </row>
    <row r="17">
      <c r="A17" s="4" t="n">
        <v>16</v>
      </c>
      <c r="B17" s="4" t="inlineStr">
        <is>
          <t>IR Iran</t>
        </is>
      </c>
      <c r="C17" s="4" t="inlineStr">
        <is>
          <t>New Zealand</t>
        </is>
      </c>
      <c r="D17" s="4" t="n">
        <v>3</v>
      </c>
      <c r="E17" s="5" t="n">
        <v>-65</v>
      </c>
      <c r="F17" s="6" t="n">
        <v>310</v>
      </c>
      <c r="G17" s="6" t="n">
        <v>-0.07221181409298789</v>
      </c>
      <c r="H17" s="5" t="n">
        <v>0</v>
      </c>
      <c r="I17" s="6" t="n">
        <v>2.065497814984468</v>
      </c>
      <c r="J17" s="5" t="n">
        <v>343</v>
      </c>
      <c r="K17" s="6" t="n">
        <v>0</v>
      </c>
      <c r="L17" s="6" t="n">
        <v>0</v>
      </c>
      <c r="M17" s="5" t="n">
        <v>0</v>
      </c>
      <c r="N17" s="7">
        <f>Model!$B$5+SUMPRODUCT(E17:L17,Model!$C$5:$J$5)</f>
        <v>0.9942138123890677</v>
      </c>
      <c r="O17" s="8" t="n">
        <v>1.102558906408639</v>
      </c>
      <c r="P17" s="7">
        <f>M17-O17</f>
        <v>-1.102558906408639</v>
      </c>
      <c r="Q17" s="8" t="n">
        <v>0.3870967741935484</v>
      </c>
      <c r="R17" s="8" t="n">
        <v>1.823255350326062</v>
      </c>
    </row>
    <row r="18">
      <c r="A18" s="4" t="n">
        <v>17</v>
      </c>
      <c r="B18" s="4" t="inlineStr">
        <is>
          <t>France</t>
        </is>
      </c>
      <c r="C18" s="4" t="inlineStr">
        <is>
          <t>Senegal</t>
        </is>
      </c>
      <c r="D18" s="4" t="n">
        <v>4</v>
      </c>
      <c r="E18" s="5" t="n">
        <v>-12</v>
      </c>
      <c r="F18" s="6" t="n">
        <v>260</v>
      </c>
      <c r="G18" s="6" t="n">
        <v>1.156645698208266</v>
      </c>
      <c r="H18" s="5" t="n">
        <v>0</v>
      </c>
      <c r="I18" s="6" t="n">
        <v>-0.0862422997946623</v>
      </c>
      <c r="J18" s="5" t="n">
        <v>-216</v>
      </c>
      <c r="K18" s="6" t="n">
        <v>0</v>
      </c>
      <c r="L18" s="6" t="n">
        <v>0</v>
      </c>
      <c r="M18" s="5" t="n">
        <v>2</v>
      </c>
      <c r="N18" s="7">
        <f>Model!$B$5+SUMPRODUCT(E18:L18,Model!$C$5:$J$5)</f>
        <v>1.6064445747644158</v>
      </c>
      <c r="O18" s="8" t="n">
        <v>1.763688195587955</v>
      </c>
      <c r="P18" s="7">
        <f>M18-O18</f>
        <v>0.23631180441204536</v>
      </c>
      <c r="Q18" s="8" t="n">
        <v>0.5053763440860215</v>
      </c>
      <c r="R18" s="8" t="n">
        <v>1.627147062509567</v>
      </c>
    </row>
    <row r="19">
      <c r="A19" s="4" t="n">
        <v>18</v>
      </c>
      <c r="B19" s="4" t="inlineStr">
        <is>
          <t>Iraq</t>
        </is>
      </c>
      <c r="C19" s="4" t="inlineStr">
        <is>
          <t>Norway</t>
        </is>
      </c>
      <c r="D19" s="4" t="n">
        <v>6</v>
      </c>
      <c r="E19" s="5" t="n">
        <v>11</v>
      </c>
      <c r="F19" s="6" t="n">
        <v>-145</v>
      </c>
      <c r="G19" s="6" t="n">
        <v>-3.325951849331062</v>
      </c>
      <c r="H19" s="5" t="n">
        <v>0</v>
      </c>
      <c r="I19" s="6" t="n">
        <v>0.1105670510188012</v>
      </c>
      <c r="J19" s="5" t="n">
        <v>28</v>
      </c>
      <c r="K19" s="6" t="n">
        <v>0</v>
      </c>
      <c r="L19" s="6" t="n">
        <v>0</v>
      </c>
      <c r="M19" s="5" t="n">
        <v>-3</v>
      </c>
      <c r="N19" s="7">
        <f>Model!$B$5+SUMPRODUCT(E19:L19,Model!$C$5:$J$5)</f>
        <v>-2.0258296836735186</v>
      </c>
      <c r="O19" s="8" t="n">
        <v>-1.882973623069504</v>
      </c>
      <c r="P19" s="7">
        <f>M19-O19</f>
        <v>-1.1170263769304958</v>
      </c>
      <c r="Q19" s="8" t="n">
        <v>0.4042553191489361</v>
      </c>
      <c r="R19" s="8" t="n">
        <v>-0.6058443232066167</v>
      </c>
    </row>
    <row r="20">
      <c r="A20" s="4" t="n">
        <v>19</v>
      </c>
      <c r="B20" s="4" t="inlineStr">
        <is>
          <t>Argentina</t>
        </is>
      </c>
      <c r="C20" s="4" t="inlineStr">
        <is>
          <t>Algeria</t>
        </is>
      </c>
      <c r="D20" s="4" t="n">
        <v>1</v>
      </c>
      <c r="E20" s="5" t="n">
        <v>-27</v>
      </c>
      <c r="F20" s="6" t="n">
        <v>390</v>
      </c>
      <c r="G20" s="6" t="n">
        <v>1.145256150980973</v>
      </c>
      <c r="H20" s="5" t="n">
        <v>0</v>
      </c>
      <c r="I20" s="6" t="n">
        <v>2.26083293845101</v>
      </c>
      <c r="J20" s="5" t="n">
        <v>474</v>
      </c>
      <c r="K20" s="6" t="n">
        <v>0</v>
      </c>
      <c r="L20" s="6" t="n">
        <v>0</v>
      </c>
      <c r="M20" s="5" t="n">
        <v>3</v>
      </c>
      <c r="N20" s="7">
        <f>Model!$B$5+SUMPRODUCT(E20:L20,Model!$C$5:$J$5)</f>
        <v>1.9578803472762778</v>
      </c>
      <c r="O20" s="8" t="n">
        <v>1.781092241357069</v>
      </c>
      <c r="P20" s="7">
        <f>M20-O20</f>
        <v>1.2189077586429309</v>
      </c>
      <c r="Q20" s="8" t="n">
        <v>0.4838709677419355</v>
      </c>
      <c r="R20" s="8" t="n">
        <v>2.334495575776023</v>
      </c>
    </row>
    <row r="21">
      <c r="A21" s="4" t="n">
        <v>20</v>
      </c>
      <c r="B21" s="4" t="inlineStr">
        <is>
          <t>Austria</t>
        </is>
      </c>
      <c r="C21" s="4" t="inlineStr">
        <is>
          <t>Jordan</t>
        </is>
      </c>
      <c r="D21" s="4" t="n">
        <v>5</v>
      </c>
      <c r="E21" s="5" t="n">
        <v>-39</v>
      </c>
      <c r="F21" s="6" t="n">
        <v>220</v>
      </c>
      <c r="G21" s="6" t="n">
        <v>2.491453318014315</v>
      </c>
      <c r="H21" s="5" t="n">
        <v>0</v>
      </c>
      <c r="I21" s="6" t="n">
        <v>0.1459485073448085</v>
      </c>
      <c r="J21" s="5" t="n">
        <v>-59</v>
      </c>
      <c r="K21" s="6" t="n">
        <v>0</v>
      </c>
      <c r="L21" s="6" t="n">
        <v>0</v>
      </c>
      <c r="M21" s="5" t="n">
        <v>2</v>
      </c>
      <c r="N21" s="7">
        <f>Model!$B$5+SUMPRODUCT(E21:L21,Model!$C$5:$J$5)</f>
        <v>1.985284125660963</v>
      </c>
      <c r="O21" s="8" t="n">
        <v>2.077607372919613</v>
      </c>
      <c r="P21" s="7">
        <f>M21-O21</f>
        <v>-0.0776073729196134</v>
      </c>
      <c r="Q21" s="8" t="n">
        <v>0.4042553191489361</v>
      </c>
      <c r="R21" s="8" t="n">
        <v>1.315430709206962</v>
      </c>
    </row>
    <row r="22">
      <c r="A22" s="4" t="n">
        <v>21</v>
      </c>
      <c r="B22" s="4" t="inlineStr">
        <is>
          <t>Portugal</t>
        </is>
      </c>
      <c r="C22" s="4" t="inlineStr">
        <is>
          <t>Congo DR</t>
        </is>
      </c>
      <c r="D22" s="4" t="n">
        <v>10</v>
      </c>
      <c r="E22" s="5" t="n">
        <v>-56</v>
      </c>
      <c r="F22" s="6" t="n">
        <v>340</v>
      </c>
      <c r="G22" s="6" t="n">
        <v>1.948586995941984</v>
      </c>
      <c r="H22" s="5" t="n">
        <v>0</v>
      </c>
      <c r="I22" s="6" t="n">
        <v>-1.033433370189016</v>
      </c>
      <c r="J22" s="5" t="n">
        <v>370</v>
      </c>
      <c r="K22" s="6" t="n">
        <v>0</v>
      </c>
      <c r="L22" s="6" t="n">
        <v>0</v>
      </c>
      <c r="M22" s="5" t="n">
        <v>0</v>
      </c>
      <c r="N22" s="7">
        <f>Model!$B$5+SUMPRODUCT(E22:L22,Model!$C$5:$J$5)</f>
        <v>1.3636769484249867</v>
      </c>
      <c r="O22" s="8" t="n">
        <v>1.660595516941286</v>
      </c>
      <c r="P22" s="7">
        <f>M22-O22</f>
        <v>-1.6605955169412856</v>
      </c>
      <c r="Q22" s="8" t="n">
        <v>0.5212765957446809</v>
      </c>
      <c r="R22" s="8" t="n">
        <v>2.218923951369437</v>
      </c>
    </row>
    <row r="23">
      <c r="A23" s="4" t="n">
        <v>22</v>
      </c>
      <c r="B23" s="4" t="inlineStr">
        <is>
          <t>England</t>
        </is>
      </c>
      <c r="C23" s="4" t="inlineStr">
        <is>
          <t>Croatia</t>
        </is>
      </c>
      <c r="D23" s="4" t="n">
        <v>9</v>
      </c>
      <c r="E23" s="5" t="n">
        <v>-7</v>
      </c>
      <c r="F23" s="6" t="n">
        <v>110</v>
      </c>
      <c r="G23" s="6" t="n">
        <v>1.256040392209389</v>
      </c>
      <c r="H23" s="5" t="n">
        <v>0</v>
      </c>
      <c r="I23" s="6" t="n">
        <v>-1.055546780392785</v>
      </c>
      <c r="J23" s="5" t="n">
        <v>-323</v>
      </c>
      <c r="K23" s="6" t="n">
        <v>0</v>
      </c>
      <c r="L23" s="6" t="n">
        <v>0</v>
      </c>
      <c r="M23" s="5" t="n">
        <v>2</v>
      </c>
      <c r="N23" s="7">
        <f>Model!$B$5+SUMPRODUCT(E23:L23,Model!$C$5:$J$5)</f>
        <v>1.0540998713507388</v>
      </c>
      <c r="O23" s="8" t="n">
        <v>1.056573433426936</v>
      </c>
      <c r="P23" s="7">
        <f>M23-O23</f>
        <v>0.9434265665730639</v>
      </c>
      <c r="Q23" s="8" t="n">
        <v>0.574468085106383</v>
      </c>
      <c r="R23" s="8" t="n">
        <v>0.8269173149615218</v>
      </c>
    </row>
    <row r="24">
      <c r="A24" s="4" t="n">
        <v>23</v>
      </c>
      <c r="B24" s="4" t="inlineStr">
        <is>
          <t>Ghana</t>
        </is>
      </c>
      <c r="C24" s="4" t="inlineStr">
        <is>
          <t>Panama</t>
        </is>
      </c>
      <c r="D24" s="4" t="n">
        <v>3</v>
      </c>
      <c r="E24" s="5" t="n">
        <v>15</v>
      </c>
      <c r="F24" s="6" t="n">
        <v>10</v>
      </c>
      <c r="G24" s="6" t="n">
        <v>1.915048037672655</v>
      </c>
      <c r="H24" s="5" t="n">
        <v>0</v>
      </c>
      <c r="I24" s="6" t="n">
        <v>-3.451376823040064</v>
      </c>
      <c r="J24" s="5" t="n">
        <v>-971</v>
      </c>
      <c r="K24" s="6" t="n">
        <v>0</v>
      </c>
      <c r="L24" s="6" t="n">
        <v>0</v>
      </c>
      <c r="M24" s="5" t="n">
        <v>1</v>
      </c>
      <c r="N24" s="7">
        <f>Model!$B$5+SUMPRODUCT(E24:L24,Model!$C$5:$J$5)</f>
        <v>1.1089329121562779</v>
      </c>
      <c r="O24" s="8" t="n">
        <v>1.015086480597147</v>
      </c>
      <c r="P24" s="7">
        <f>M24-O24</f>
        <v>-0.0150864805971469</v>
      </c>
      <c r="Q24" s="8" t="n">
        <v>0.3870967741935484</v>
      </c>
      <c r="R24" s="8" t="n">
        <v>0.181426861323926</v>
      </c>
    </row>
    <row r="25">
      <c r="A25" s="4" t="n">
        <v>24</v>
      </c>
      <c r="B25" s="4" t="inlineStr">
        <is>
          <t>Uzbekistan</t>
        </is>
      </c>
      <c r="C25" s="4" t="inlineStr">
        <is>
          <t>Colombia</t>
        </is>
      </c>
      <c r="D25" s="4" t="n">
        <v>9</v>
      </c>
      <c r="E25" s="5" t="n">
        <v>37</v>
      </c>
      <c r="F25" s="6" t="n">
        <v>-340</v>
      </c>
      <c r="G25" s="6" t="n">
        <v>-1.265059194170728</v>
      </c>
      <c r="H25" s="5" t="n">
        <v>0</v>
      </c>
      <c r="I25" s="6" t="n">
        <v>-1.876059600905599</v>
      </c>
      <c r="J25" s="5" t="n">
        <v>-87</v>
      </c>
      <c r="K25" s="6" t="n">
        <v>0</v>
      </c>
      <c r="L25" s="6" t="n">
        <v>0</v>
      </c>
      <c r="M25" s="5" t="n">
        <v>-2</v>
      </c>
      <c r="N25" s="7">
        <f>Model!$B$5+SUMPRODUCT(E25:L25,Model!$C$5:$J$5)</f>
        <v>-1.8786222836032502</v>
      </c>
      <c r="O25" s="8" t="n">
        <v>-1.78476046002972</v>
      </c>
      <c r="P25" s="7">
        <f>M25-O25</f>
        <v>-0.21523953997028</v>
      </c>
      <c r="Q25" s="8" t="n">
        <v>0.574468085106383</v>
      </c>
      <c r="R25" s="8" t="n">
        <v>-1.668083251130152</v>
      </c>
    </row>
    <row r="26">
      <c r="A26" s="4" t="n">
        <v>25</v>
      </c>
      <c r="B26" s="4" t="inlineStr">
        <is>
          <t>Mexico</t>
        </is>
      </c>
      <c r="C26" s="4" t="inlineStr">
        <is>
          <t>South Korea</t>
        </is>
      </c>
      <c r="D26" s="4" t="n">
        <v>6</v>
      </c>
      <c r="E26" s="5" t="n">
        <v>-8</v>
      </c>
      <c r="F26" s="6" t="n">
        <v>10</v>
      </c>
      <c r="G26" s="6" t="n">
        <v>0.3218802360129871</v>
      </c>
      <c r="H26" s="5" t="n">
        <v>1</v>
      </c>
      <c r="I26" s="6" t="n">
        <v>-0.1650081609013796</v>
      </c>
      <c r="J26" s="5" t="n">
        <v>263</v>
      </c>
      <c r="K26" s="6" t="n">
        <v>0</v>
      </c>
      <c r="L26" s="6" t="n">
        <v>-1</v>
      </c>
      <c r="M26" s="5" t="n">
        <v>1</v>
      </c>
      <c r="N26" s="7">
        <f>Model!$B$5+SUMPRODUCT(E26:L26,Model!$C$5:$J$5)</f>
        <v>1.1375658270680278</v>
      </c>
      <c r="O26" s="8" t="n">
        <v>0.9675762449754344</v>
      </c>
      <c r="P26" s="7">
        <f>M26-O26</f>
        <v>0.032423755024565626</v>
      </c>
      <c r="Q26" s="8" t="n">
        <v>0.4042553191489361</v>
      </c>
      <c r="R26" s="8" t="n">
        <v>0.1955252269769066</v>
      </c>
    </row>
    <row r="27">
      <c r="A27" s="4" t="n">
        <v>26</v>
      </c>
      <c r="B27" s="4" t="inlineStr">
        <is>
          <t>Czechia</t>
        </is>
      </c>
      <c r="C27" s="4" t="inlineStr">
        <is>
          <t>South Africa</t>
        </is>
      </c>
      <c r="D27" s="4" t="n">
        <v>5</v>
      </c>
      <c r="E27" s="5" t="n">
        <v>-20</v>
      </c>
      <c r="F27" s="6" t="n">
        <v>120</v>
      </c>
      <c r="G27" s="6" t="n">
        <v>1.340489583960522</v>
      </c>
      <c r="H27" s="5" t="n">
        <v>0</v>
      </c>
      <c r="I27" s="6" t="n">
        <v>0.8124045701047784</v>
      </c>
      <c r="J27" s="5" t="n">
        <v>200</v>
      </c>
      <c r="K27" s="6" t="n">
        <v>0</v>
      </c>
      <c r="L27" s="6" t="n">
        <v>0</v>
      </c>
      <c r="M27" s="5" t="n">
        <v>0</v>
      </c>
      <c r="N27" s="7">
        <f>Model!$B$5+SUMPRODUCT(E27:L27,Model!$C$5:$J$5)</f>
        <v>1.1061509930173399</v>
      </c>
      <c r="O27" s="8" t="n">
        <v>1.182667152959891</v>
      </c>
      <c r="P27" s="7">
        <f>M27-O27</f>
        <v>-1.1826671529598909</v>
      </c>
      <c r="Q27" s="8" t="n">
        <v>0.4042553191489361</v>
      </c>
      <c r="R27" s="8" t="n">
        <v>0.7532351945009927</v>
      </c>
    </row>
    <row r="28">
      <c r="A28" s="4" t="n">
        <v>27</v>
      </c>
      <c r="B28" s="4" t="inlineStr">
        <is>
          <t>Canada</t>
        </is>
      </c>
      <c r="C28" s="4" t="inlineStr">
        <is>
          <t>Qatar</t>
        </is>
      </c>
      <c r="D28" s="4" t="n">
        <v>2</v>
      </c>
      <c r="E28" s="5" t="n">
        <v>-23</v>
      </c>
      <c r="F28" s="6" t="n">
        <v>195</v>
      </c>
      <c r="G28" s="6" t="n">
        <v>2.299318348035904</v>
      </c>
      <c r="H28" s="5" t="n">
        <v>1</v>
      </c>
      <c r="I28" s="6" t="n">
        <v>-2.535039224977627</v>
      </c>
      <c r="J28" s="5" t="n">
        <v>-613</v>
      </c>
      <c r="K28" s="6" t="n">
        <v>1</v>
      </c>
      <c r="L28" s="6" t="n">
        <v>0</v>
      </c>
      <c r="M28" s="5" t="n">
        <v>6</v>
      </c>
      <c r="N28" s="7">
        <f>Model!$B$5+SUMPRODUCT(E28:L28,Model!$C$5:$J$5)</f>
        <v>2.772903039432131</v>
      </c>
      <c r="O28" s="8" t="n">
        <v>2.053951437540696</v>
      </c>
      <c r="P28" s="7">
        <f>M28-O28</f>
        <v>3.9460485624593042</v>
      </c>
      <c r="Q28" s="8" t="n">
        <v>0.4623655913978494</v>
      </c>
      <c r="R28" s="8" t="n">
        <v>1.271535875520841</v>
      </c>
    </row>
    <row r="29">
      <c r="A29" s="4" t="n">
        <v>28</v>
      </c>
      <c r="B29" s="4" t="inlineStr">
        <is>
          <t>Switzerland</t>
        </is>
      </c>
      <c r="C29" s="4" t="inlineStr">
        <is>
          <t>Bosnia and Herzegovina</t>
        </is>
      </c>
      <c r="D29" s="4" t="n">
        <v>5</v>
      </c>
      <c r="E29" s="5" t="n">
        <v>-45</v>
      </c>
      <c r="F29" s="6" t="n">
        <v>215</v>
      </c>
      <c r="G29" s="6" t="n">
        <v>0.8202972585686972</v>
      </c>
      <c r="H29" s="5" t="n">
        <v>0</v>
      </c>
      <c r="I29" s="6" t="n">
        <v>1.850576528194601</v>
      </c>
      <c r="J29" s="5" t="n">
        <v>535</v>
      </c>
      <c r="K29" s="6" t="n">
        <v>-1</v>
      </c>
      <c r="L29" s="6" t="n">
        <v>0</v>
      </c>
      <c r="M29" s="5" t="n">
        <v>3</v>
      </c>
      <c r="N29" s="7">
        <f>Model!$B$5+SUMPRODUCT(E29:L29,Model!$C$5:$J$5)</f>
        <v>0.9379012130293225</v>
      </c>
      <c r="O29" s="8" t="n">
        <v>0.886872214312991</v>
      </c>
      <c r="P29" s="7">
        <f>M29-O29</f>
        <v>2.113127785687009</v>
      </c>
      <c r="Q29" s="8" t="n">
        <v>0.4042553191489361</v>
      </c>
      <c r="R29" s="8" t="n">
        <v>1.287320933471664</v>
      </c>
    </row>
    <row r="30">
      <c r="A30" s="4" t="n">
        <v>29</v>
      </c>
      <c r="B30" s="4" t="inlineStr">
        <is>
          <t>Brazil</t>
        </is>
      </c>
      <c r="C30" s="4" t="inlineStr">
        <is>
          <t>Haiti</t>
        </is>
      </c>
      <c r="D30" s="4" t="n">
        <v>4</v>
      </c>
      <c r="E30" s="5" t="n">
        <v>-77</v>
      </c>
      <c r="F30" s="6" t="n">
        <v>500</v>
      </c>
      <c r="G30" s="6" t="n">
        <v>2.825713969062107</v>
      </c>
      <c r="H30" s="5" t="n">
        <v>0</v>
      </c>
      <c r="I30" s="6" t="n">
        <v>1.854893908281994</v>
      </c>
      <c r="J30" s="5" t="n">
        <v>289</v>
      </c>
      <c r="K30" s="6" t="n">
        <v>0</v>
      </c>
      <c r="L30" s="6" t="n">
        <v>0</v>
      </c>
      <c r="M30" s="5" t="n">
        <v>3</v>
      </c>
      <c r="N30" s="7">
        <f>Model!$B$5+SUMPRODUCT(E30:L30,Model!$C$5:$J$5)</f>
        <v>3.020788768879552</v>
      </c>
      <c r="O30" s="8" t="n">
        <v>3.171685084368689</v>
      </c>
      <c r="P30" s="7">
        <f>M30-O30</f>
        <v>-0.17168508436868857</v>
      </c>
      <c r="Q30" s="8" t="n">
        <v>0.5053763440860215</v>
      </c>
      <c r="R30" s="8" t="n">
        <v>2.967865800673611</v>
      </c>
    </row>
    <row r="31">
      <c r="A31" s="4" t="n">
        <v>30</v>
      </c>
      <c r="B31" s="4" t="inlineStr">
        <is>
          <t>Scotland</t>
        </is>
      </c>
      <c r="C31" s="4" t="inlineStr">
        <is>
          <t>Morocco</t>
        </is>
      </c>
      <c r="D31" s="4" t="n">
        <v>9</v>
      </c>
      <c r="E31" s="5" t="n">
        <v>32</v>
      </c>
      <c r="F31" s="6" t="n">
        <v>-200</v>
      </c>
      <c r="G31" s="6" t="n">
        <v>-0.9668554202172964</v>
      </c>
      <c r="H31" s="5" t="n">
        <v>0</v>
      </c>
      <c r="I31" s="6" t="n">
        <v>2.603485494655928</v>
      </c>
      <c r="J31" s="5" t="n">
        <v>266</v>
      </c>
      <c r="K31" s="6" t="n">
        <v>0</v>
      </c>
      <c r="L31" s="6" t="n">
        <v>-1</v>
      </c>
      <c r="M31" s="5" t="n">
        <v>-1</v>
      </c>
      <c r="N31" s="7">
        <f>Model!$B$5+SUMPRODUCT(E31:L31,Model!$C$5:$J$5)</f>
        <v>-0.363008523757316</v>
      </c>
      <c r="O31" s="8" t="n">
        <v>-0.2489613420470057</v>
      </c>
      <c r="P31" s="7">
        <f>M31-O31</f>
        <v>-0.7510386579529944</v>
      </c>
      <c r="Q31" s="8" t="n">
        <v>0.574468085106383</v>
      </c>
      <c r="R31" s="8" t="n">
        <v>-0.8918608527905203</v>
      </c>
    </row>
    <row r="32">
      <c r="A32" s="4" t="n">
        <v>31</v>
      </c>
      <c r="B32" s="4" t="inlineStr">
        <is>
          <t>USA</t>
        </is>
      </c>
      <c r="C32" s="4" t="inlineStr">
        <is>
          <t>Australia</t>
        </is>
      </c>
      <c r="D32" s="4" t="n">
        <v>1</v>
      </c>
      <c r="E32" s="5" t="n">
        <v>-10</v>
      </c>
      <c r="F32" s="6" t="n">
        <v>60</v>
      </c>
      <c r="G32" s="6" t="n">
        <v>1.605167995873515</v>
      </c>
      <c r="H32" s="5" t="n">
        <v>1</v>
      </c>
      <c r="I32" s="6" t="n">
        <v>-0.4544832306639321</v>
      </c>
      <c r="J32" s="5" t="n">
        <v>226</v>
      </c>
      <c r="K32" s="6" t="n">
        <v>1</v>
      </c>
      <c r="L32" s="6" t="n">
        <v>1</v>
      </c>
      <c r="M32" s="5" t="n">
        <v>2</v>
      </c>
      <c r="N32" s="7">
        <f>Model!$B$5+SUMPRODUCT(E32:L32,Model!$C$5:$J$5)</f>
        <v>1.7411524267104852</v>
      </c>
      <c r="O32" s="8" t="n">
        <v>2.047768486076767</v>
      </c>
      <c r="P32" s="7">
        <f>M32-O32</f>
        <v>-0.047768486076767314</v>
      </c>
      <c r="Q32" s="8" t="n">
        <v>0.4838709677419355</v>
      </c>
      <c r="R32" s="8" t="n">
        <v>0.4898814406488342</v>
      </c>
    </row>
    <row r="33">
      <c r="A33" s="4" t="n">
        <v>32</v>
      </c>
      <c r="B33" s="4" t="inlineStr">
        <is>
          <t>Türkiye</t>
        </is>
      </c>
      <c r="C33" s="4" t="inlineStr">
        <is>
          <t>Paraguay</t>
        </is>
      </c>
      <c r="D33" s="4" t="n">
        <v>2</v>
      </c>
      <c r="E33" s="5" t="n">
        <v>-28</v>
      </c>
      <c r="F33" s="6" t="n">
        <v>55</v>
      </c>
      <c r="G33" s="6" t="n">
        <v>1.125896921353213</v>
      </c>
      <c r="H33" s="5" t="n">
        <v>0</v>
      </c>
      <c r="I33" s="6" t="n">
        <v>-1.330384878639493</v>
      </c>
      <c r="J33" s="5" t="n">
        <v>284</v>
      </c>
      <c r="K33" s="6" t="n">
        <v>-1</v>
      </c>
      <c r="L33" s="6" t="n">
        <v>-2</v>
      </c>
      <c r="M33" s="5" t="n">
        <v>-1</v>
      </c>
      <c r="N33" s="7">
        <f>Model!$B$5+SUMPRODUCT(E33:L33,Model!$C$5:$J$5)</f>
        <v>0.31771274925463133</v>
      </c>
      <c r="O33" s="8" t="n">
        <v>1.199209050559864</v>
      </c>
      <c r="P33" s="7">
        <f>M33-O33</f>
        <v>-2.1992090505598645</v>
      </c>
      <c r="Q33" s="8" t="n">
        <v>0.4623655913978494</v>
      </c>
      <c r="R33" s="8" t="n">
        <v>0.4337309372082088</v>
      </c>
    </row>
    <row r="34">
      <c r="A34" s="4" t="n">
        <v>33</v>
      </c>
      <c r="B34" s="4" t="inlineStr">
        <is>
          <t>Germany</t>
        </is>
      </c>
      <c r="C34" s="4" t="inlineStr">
        <is>
          <t>Côte d'Ivoire</t>
        </is>
      </c>
      <c r="D34" s="4" t="n">
        <v>8</v>
      </c>
      <c r="E34" s="5" t="n">
        <v>-28</v>
      </c>
      <c r="F34" s="6" t="n">
        <v>220</v>
      </c>
      <c r="G34" s="6" t="n">
        <v>0.5954399527695706</v>
      </c>
      <c r="H34" s="5" t="n">
        <v>0</v>
      </c>
      <c r="I34" s="6" t="n">
        <v>2.197757068393617</v>
      </c>
      <c r="J34" s="5" t="n">
        <v>138</v>
      </c>
      <c r="K34" s="6" t="n">
        <v>0</v>
      </c>
      <c r="L34" s="6" t="n">
        <v>1</v>
      </c>
      <c r="M34" s="5" t="n">
        <v>1</v>
      </c>
      <c r="N34" s="7">
        <f>Model!$B$5+SUMPRODUCT(E34:L34,Model!$C$5:$J$5)</f>
        <v>1.2831115416275791</v>
      </c>
      <c r="O34" s="8" t="n">
        <v>1.381642809067566</v>
      </c>
      <c r="P34" s="7">
        <f>M34-O34</f>
        <v>-0.3816428090675661</v>
      </c>
      <c r="Q34" s="8" t="n">
        <v>0.6063829787234043</v>
      </c>
      <c r="R34" s="8" t="n">
        <v>1.434518870082873</v>
      </c>
    </row>
    <row r="35">
      <c r="A35" s="4" t="n">
        <v>34</v>
      </c>
      <c r="B35" s="4" t="inlineStr">
        <is>
          <t>Ecuador</t>
        </is>
      </c>
      <c r="C35" s="4" t="inlineStr">
        <is>
          <t>Curaçao</t>
        </is>
      </c>
      <c r="D35" s="4" t="n">
        <v>2</v>
      </c>
      <c r="E35" s="5" t="n">
        <v>-59</v>
      </c>
      <c r="F35" s="6" t="n">
        <v>350</v>
      </c>
      <c r="G35" s="6" t="n">
        <v>2.660384307729057</v>
      </c>
      <c r="H35" s="5" t="n">
        <v>0</v>
      </c>
      <c r="I35" s="6" t="n">
        <v>-1.943347549097041</v>
      </c>
      <c r="J35" s="5" t="n">
        <v>150</v>
      </c>
      <c r="K35" s="6" t="n">
        <v>0</v>
      </c>
      <c r="L35" s="6" t="n">
        <v>-6</v>
      </c>
      <c r="M35" s="5" t="n">
        <v>0</v>
      </c>
      <c r="N35" s="7">
        <f>Model!$B$5+SUMPRODUCT(E35:L35,Model!$C$5:$J$5)</f>
        <v>2.4307595882377253</v>
      </c>
      <c r="O35" s="8" t="n">
        <v>3.639849144581417</v>
      </c>
      <c r="P35" s="7">
        <f>M35-O35</f>
        <v>-3.639849144581417</v>
      </c>
      <c r="Q35" s="8" t="n">
        <v>0.4623655913978494</v>
      </c>
      <c r="R35" s="8" t="n">
        <v>2.199105628652683</v>
      </c>
    </row>
    <row r="36">
      <c r="A36" s="4" t="n">
        <v>35</v>
      </c>
      <c r="B36" s="4" t="inlineStr">
        <is>
          <t>Netherlands</t>
        </is>
      </c>
      <c r="C36" s="4" t="inlineStr">
        <is>
          <t>Sweden</t>
        </is>
      </c>
      <c r="D36" s="4" t="n">
        <v>4</v>
      </c>
      <c r="E36" s="5" t="n">
        <v>-17</v>
      </c>
      <c r="F36" s="6" t="n">
        <v>165</v>
      </c>
      <c r="G36" s="6" t="n">
        <v>0.6191074002982333</v>
      </c>
      <c r="H36" s="5" t="n">
        <v>0</v>
      </c>
      <c r="I36" s="6" t="n">
        <v>0.2173432317169528</v>
      </c>
      <c r="J36" s="5" t="n">
        <v>346</v>
      </c>
      <c r="K36" s="6" t="n">
        <v>0</v>
      </c>
      <c r="L36" s="6" t="n">
        <v>1</v>
      </c>
      <c r="M36" s="5" t="n">
        <v>4</v>
      </c>
      <c r="N36" s="7">
        <f>Model!$B$5+SUMPRODUCT(E36:L36,Model!$C$5:$J$5)</f>
        <v>0.49797127659603035</v>
      </c>
      <c r="O36" s="8" t="n">
        <v>0.4784995988227914</v>
      </c>
      <c r="P36" s="7">
        <f>M36-O36</f>
        <v>3.5215004011772084</v>
      </c>
      <c r="Q36" s="8" t="n">
        <v>0.5053763440860215</v>
      </c>
      <c r="R36" s="8" t="n">
        <v>1.096445895319633</v>
      </c>
    </row>
    <row r="37">
      <c r="A37" s="4" t="n">
        <v>36</v>
      </c>
      <c r="B37" s="4" t="inlineStr">
        <is>
          <t>Tunisia</t>
        </is>
      </c>
      <c r="C37" s="4" t="inlineStr">
        <is>
          <t>Japan</t>
        </is>
      </c>
      <c r="D37" s="4" t="n">
        <v>4</v>
      </c>
      <c r="E37" s="5" t="n">
        <v>27</v>
      </c>
      <c r="F37" s="6" t="n">
        <v>-170</v>
      </c>
      <c r="G37" s="6" t="n">
        <v>-1.353784460992419</v>
      </c>
      <c r="H37" s="5" t="n">
        <v>0</v>
      </c>
      <c r="I37" s="6" t="n">
        <v>-0.8505238772179169</v>
      </c>
      <c r="J37" s="5" t="n">
        <v>-227</v>
      </c>
      <c r="K37" s="6" t="n">
        <v>0</v>
      </c>
      <c r="L37" s="6" t="n">
        <v>3</v>
      </c>
      <c r="M37" s="5" t="n">
        <v>-4</v>
      </c>
      <c r="N37" s="7">
        <f>Model!$B$5+SUMPRODUCT(E37:L37,Model!$C$5:$J$5)</f>
        <v>-1.4200107837383729</v>
      </c>
      <c r="O37" s="8" t="n">
        <v>-1.277623366806401</v>
      </c>
      <c r="P37" s="7">
        <f>M37-O37</f>
        <v>-2.7223766331935995</v>
      </c>
      <c r="Q37" s="8" t="n">
        <v>0.5053763440860215</v>
      </c>
      <c r="R37" s="8" t="n">
        <v>-0.7749740100343461</v>
      </c>
    </row>
    <row r="38">
      <c r="A38" s="4" t="n">
        <v>37</v>
      </c>
      <c r="B38" s="4" t="inlineStr">
        <is>
          <t>Belgium</t>
        </is>
      </c>
      <c r="C38" s="4" t="inlineStr">
        <is>
          <t>IR Iran</t>
        </is>
      </c>
      <c r="D38" s="4" t="n">
        <v>6</v>
      </c>
      <c r="E38" s="5" t="n">
        <v>-11</v>
      </c>
      <c r="F38" s="6" t="n">
        <v>130</v>
      </c>
      <c r="G38" s="6" t="n">
        <v>2.838065278323977</v>
      </c>
      <c r="H38" s="5" t="n">
        <v>0</v>
      </c>
      <c r="I38" s="6" t="n">
        <v>-2.718054019902066</v>
      </c>
      <c r="J38" s="5" t="n">
        <v>-90</v>
      </c>
      <c r="K38" s="6" t="n">
        <v>0</v>
      </c>
      <c r="L38" s="6" t="n">
        <v>-1</v>
      </c>
      <c r="M38" s="5" t="n">
        <v>0</v>
      </c>
      <c r="N38" s="7">
        <f>Model!$B$5+SUMPRODUCT(E38:L38,Model!$C$5:$J$5)</f>
        <v>1.4231663112559727</v>
      </c>
      <c r="O38" s="8" t="n">
        <v>1.339115247248985</v>
      </c>
      <c r="P38" s="7">
        <f>M38-O38</f>
        <v>-1.3391152472489851</v>
      </c>
      <c r="Q38" s="8" t="n">
        <v>0.4042553191489361</v>
      </c>
      <c r="R38" s="8" t="n">
        <v>0.8159403626028601</v>
      </c>
    </row>
    <row r="39">
      <c r="A39" s="4" t="n">
        <v>38</v>
      </c>
      <c r="B39" s="4" t="inlineStr">
        <is>
          <t>New Zealand</t>
        </is>
      </c>
      <c r="C39" s="4" t="inlineStr">
        <is>
          <t>Egypt</t>
        </is>
      </c>
      <c r="D39" s="4" t="n">
        <v>9</v>
      </c>
      <c r="E39" s="5" t="n">
        <v>49</v>
      </c>
      <c r="F39" s="6" t="n">
        <v>-220</v>
      </c>
      <c r="G39" s="6" t="n">
        <v>-1.218210586988711</v>
      </c>
      <c r="H39" s="5" t="n">
        <v>0</v>
      </c>
      <c r="I39" s="6" t="n">
        <v>-0.791870689201275</v>
      </c>
      <c r="J39" s="5" t="n">
        <v>1</v>
      </c>
      <c r="K39" s="6" t="n">
        <v>0</v>
      </c>
      <c r="L39" s="6" t="n">
        <v>1</v>
      </c>
      <c r="M39" s="5" t="n">
        <v>-2</v>
      </c>
      <c r="N39" s="7">
        <f>Model!$B$5+SUMPRODUCT(E39:L39,Model!$C$5:$J$5)</f>
        <v>-1.3549476347990201</v>
      </c>
      <c r="O39" s="8" t="n">
        <v>-1.200331632575318</v>
      </c>
      <c r="P39" s="7">
        <f>M39-O39</f>
        <v>-0.7996683674246816</v>
      </c>
      <c r="Q39" s="8" t="n">
        <v>0.574468085106383</v>
      </c>
      <c r="R39" s="8" t="n">
        <v>-1.002749766839039</v>
      </c>
    </row>
    <row r="40">
      <c r="A40" s="4" t="n">
        <v>39</v>
      </c>
      <c r="B40" s="4" t="inlineStr">
        <is>
          <t>Spain</t>
        </is>
      </c>
      <c r="C40" s="4" t="inlineStr">
        <is>
          <t>Saudi Arabia</t>
        </is>
      </c>
      <c r="D40" s="4" t="n">
        <v>6</v>
      </c>
      <c r="E40" s="5" t="n">
        <v>-56</v>
      </c>
      <c r="F40" s="6" t="n">
        <v>460</v>
      </c>
      <c r="G40" s="6" t="n">
        <v>3.400869566546945</v>
      </c>
      <c r="H40" s="5" t="n">
        <v>0</v>
      </c>
      <c r="I40" s="6" t="n">
        <v>-1.768651608487328</v>
      </c>
      <c r="J40" s="5" t="n">
        <v>-185</v>
      </c>
      <c r="K40" s="6" t="n">
        <v>0</v>
      </c>
      <c r="L40" s="6" t="n">
        <v>-1</v>
      </c>
      <c r="M40" s="5" t="n">
        <v>4</v>
      </c>
      <c r="N40" s="7">
        <f>Model!$B$5+SUMPRODUCT(E40:L40,Model!$C$5:$J$5)</f>
        <v>2.8861360965303198</v>
      </c>
      <c r="O40" s="8" t="n">
        <v>2.700479878722009</v>
      </c>
      <c r="P40" s="7">
        <f>M40-O40</f>
        <v>1.2995201212779914</v>
      </c>
      <c r="Q40" s="8" t="n">
        <v>0.4042553191489361</v>
      </c>
      <c r="R40" s="8" t="n">
        <v>2.522081985574232</v>
      </c>
    </row>
    <row r="41">
      <c r="A41" s="4" t="n">
        <v>40</v>
      </c>
      <c r="B41" s="4" t="inlineStr">
        <is>
          <t>Uruguay</t>
        </is>
      </c>
      <c r="C41" s="4" t="inlineStr">
        <is>
          <t>Cabo Verde</t>
        </is>
      </c>
      <c r="D41" s="4" t="n">
        <v>4</v>
      </c>
      <c r="E41" s="5" t="n">
        <v>-51</v>
      </c>
      <c r="F41" s="6" t="n">
        <v>320</v>
      </c>
      <c r="G41" s="6" t="n">
        <v>1.987248326501377</v>
      </c>
      <c r="H41" s="5" t="n">
        <v>0</v>
      </c>
      <c r="I41" s="6" t="n">
        <v>-0.9341336281787918</v>
      </c>
      <c r="J41" s="5" t="n">
        <v>102</v>
      </c>
      <c r="K41" s="6" t="n">
        <v>0</v>
      </c>
      <c r="L41" s="6" t="n">
        <v>1</v>
      </c>
      <c r="M41" s="5" t="n">
        <v>0</v>
      </c>
      <c r="N41" s="7">
        <f>Model!$B$5+SUMPRODUCT(E41:L41,Model!$C$5:$J$5)</f>
        <v>1.4683746830984346</v>
      </c>
      <c r="O41" s="8" t="n">
        <v>1.513010546839838</v>
      </c>
      <c r="P41" s="7">
        <f>M41-O41</f>
        <v>-1.5130105468398385</v>
      </c>
      <c r="Q41" s="8" t="n">
        <v>0.5053763440860215</v>
      </c>
      <c r="R41" s="8" t="n">
        <v>1.962326747050578</v>
      </c>
    </row>
    <row r="42">
      <c r="A42" s="4" t="n">
        <v>41</v>
      </c>
      <c r="B42" s="4" t="inlineStr">
        <is>
          <t>France</t>
        </is>
      </c>
      <c r="C42" s="4" t="inlineStr">
        <is>
          <t>Iraq</t>
        </is>
      </c>
      <c r="D42" s="4" t="n">
        <v>3</v>
      </c>
      <c r="E42" s="5" t="n">
        <v>-52</v>
      </c>
      <c r="F42" s="6" t="n">
        <v>470</v>
      </c>
      <c r="G42" s="6" t="n">
        <v>4.272464432162355</v>
      </c>
      <c r="H42" s="5" t="n">
        <v>0</v>
      </c>
      <c r="I42" s="6" t="n">
        <v>0.0862422997946623</v>
      </c>
      <c r="J42" s="5" t="n">
        <v>-29</v>
      </c>
      <c r="K42" s="6" t="n">
        <v>0</v>
      </c>
      <c r="L42" s="6" t="n">
        <v>-3</v>
      </c>
      <c r="M42" s="5" t="n">
        <v>3</v>
      </c>
      <c r="N42" s="7">
        <f>Model!$B$5+SUMPRODUCT(E42:L42,Model!$C$5:$J$5)</f>
        <v>3.954084147608979</v>
      </c>
      <c r="O42" s="8" t="n">
        <v>3.778652723367804</v>
      </c>
      <c r="P42" s="7">
        <f>M42-O42</f>
        <v>-0.778652723367804</v>
      </c>
      <c r="Q42" s="8" t="n">
        <v>0.3870967741935484</v>
      </c>
      <c r="R42" s="8" t="n">
        <v>2.698897211127201</v>
      </c>
    </row>
    <row r="43">
      <c r="A43" s="4" t="n">
        <v>42</v>
      </c>
      <c r="B43" s="4" t="inlineStr">
        <is>
          <t>Norway</t>
        </is>
      </c>
      <c r="C43" s="4" t="inlineStr">
        <is>
          <t>Senegal</t>
        </is>
      </c>
      <c r="D43" s="4" t="n">
        <v>8</v>
      </c>
      <c r="E43" s="5" t="n">
        <v>29</v>
      </c>
      <c r="F43" s="6" t="n">
        <v>-65</v>
      </c>
      <c r="G43" s="6" t="n">
        <v>0.2101331153769727</v>
      </c>
      <c r="H43" s="5" t="n">
        <v>0</v>
      </c>
      <c r="I43" s="6" t="n">
        <v>-0.283051650608126</v>
      </c>
      <c r="J43" s="5" t="n">
        <v>-215</v>
      </c>
      <c r="K43" s="6" t="n">
        <v>0</v>
      </c>
      <c r="L43" s="6" t="n">
        <v>-2</v>
      </c>
      <c r="M43" s="5" t="n">
        <v>1</v>
      </c>
      <c r="N43" s="7">
        <f>Model!$B$5+SUMPRODUCT(E43:L43,Model!$C$5:$J$5)</f>
        <v>0.4550636315596412</v>
      </c>
      <c r="O43" s="8" t="n">
        <v>0.5536335758646324</v>
      </c>
      <c r="P43" s="7">
        <f>M43-O43</f>
        <v>0.44636642413536765</v>
      </c>
      <c r="Q43" s="8" t="n">
        <v>0.6063829787234043</v>
      </c>
      <c r="R43" s="8" t="n">
        <v>-0.1045557417464829</v>
      </c>
    </row>
    <row r="44">
      <c r="A44" s="4" t="n">
        <v>43</v>
      </c>
      <c r="B44" s="4" t="inlineStr">
        <is>
          <t>Argentina</t>
        </is>
      </c>
      <c r="C44" s="4" t="inlineStr">
        <is>
          <t>Austria</t>
        </is>
      </c>
      <c r="D44" s="4" t="n">
        <v>3</v>
      </c>
      <c r="E44" s="5" t="n">
        <v>-23</v>
      </c>
      <c r="F44" s="6" t="n">
        <v>320</v>
      </c>
      <c r="G44" s="6" t="n">
        <v>1.191868851034755</v>
      </c>
      <c r="H44" s="5" t="n">
        <v>0</v>
      </c>
      <c r="I44" s="6" t="n">
        <v>0.5067129995261404</v>
      </c>
      <c r="J44" s="5" t="n">
        <v>247</v>
      </c>
      <c r="K44" s="6" t="n">
        <v>0</v>
      </c>
      <c r="L44" s="6" t="n">
        <v>-1</v>
      </c>
      <c r="M44" s="5" t="n">
        <v>2</v>
      </c>
      <c r="N44" s="7">
        <f>Model!$B$5+SUMPRODUCT(E44:L44,Model!$C$5:$J$5)</f>
        <v>1.651098738399238</v>
      </c>
      <c r="O44" s="8" t="n">
        <v>1.615766392030642</v>
      </c>
      <c r="P44" s="7">
        <f>M44-O44</f>
        <v>0.38423360796935757</v>
      </c>
      <c r="Q44" s="8" t="n">
        <v>0.3870967741935484</v>
      </c>
      <c r="R44" s="8" t="n">
        <v>1.877982966626133</v>
      </c>
    </row>
    <row r="45">
      <c r="A45" s="4" t="n">
        <v>44</v>
      </c>
      <c r="B45" s="4" t="inlineStr">
        <is>
          <t>Jordan</t>
        </is>
      </c>
      <c r="C45" s="4" t="inlineStr">
        <is>
          <t>Algeria</t>
        </is>
      </c>
      <c r="D45" s="4" t="n">
        <v>5</v>
      </c>
      <c r="E45" s="5" t="n">
        <v>35</v>
      </c>
      <c r="F45" s="6" t="n">
        <v>-150</v>
      </c>
      <c r="G45" s="6" t="n">
        <v>-2.538066018068097</v>
      </c>
      <c r="H45" s="5" t="n">
        <v>0</v>
      </c>
      <c r="I45" s="6" t="n">
        <v>1.608171431580061</v>
      </c>
      <c r="J45" s="5" t="n">
        <v>286</v>
      </c>
      <c r="K45" s="6" t="n">
        <v>0</v>
      </c>
      <c r="L45" s="6" t="n">
        <v>0</v>
      </c>
      <c r="M45" s="5" t="n">
        <v>-1</v>
      </c>
      <c r="N45" s="7">
        <f>Model!$B$5+SUMPRODUCT(E45:L45,Model!$C$5:$J$5)</f>
        <v>-1.38546291688307</v>
      </c>
      <c r="O45" s="8" t="n">
        <v>-1.678817050205623</v>
      </c>
      <c r="P45" s="7">
        <f>M45-O45</f>
        <v>0.6788170502056234</v>
      </c>
      <c r="Q45" s="8" t="n">
        <v>0.4042553191489361</v>
      </c>
      <c r="R45" s="8" t="n">
        <v>-0.7646926952051248</v>
      </c>
    </row>
    <row r="46">
      <c r="A46" s="4" t="n">
        <v>45</v>
      </c>
      <c r="B46" s="4" t="inlineStr">
        <is>
          <t>Portugal</t>
        </is>
      </c>
      <c r="C46" s="4" t="inlineStr">
        <is>
          <t>Uzbekistan</t>
        </is>
      </c>
      <c r="D46" s="4" t="n">
        <v>3</v>
      </c>
      <c r="E46" s="5" t="n">
        <v>-45</v>
      </c>
      <c r="F46" s="6" t="n">
        <v>360</v>
      </c>
      <c r="G46" s="6" t="n">
        <v>2.47117951728681</v>
      </c>
      <c r="H46" s="5" t="n">
        <v>0</v>
      </c>
      <c r="I46" s="6" t="n">
        <v>-0.177960301163587</v>
      </c>
      <c r="J46" s="5" t="n">
        <v>204</v>
      </c>
      <c r="K46" s="6" t="n">
        <v>0</v>
      </c>
      <c r="L46" s="6" t="n">
        <v>-2</v>
      </c>
      <c r="M46" s="5" t="n">
        <v>5</v>
      </c>
      <c r="N46" s="7">
        <f>Model!$B$5+SUMPRODUCT(E46:L46,Model!$C$5:$J$5)</f>
        <v>2.3316971956719046</v>
      </c>
      <c r="O46" s="8" t="n">
        <v>2.250559599354599</v>
      </c>
      <c r="P46" s="7">
        <f>M46-O46</f>
        <v>2.7494404006454007</v>
      </c>
      <c r="Q46" s="8" t="n">
        <v>0.3870967741935484</v>
      </c>
      <c r="R46" s="8" t="n">
        <v>2.096893431826418</v>
      </c>
    </row>
    <row r="47">
      <c r="A47" s="4" t="n">
        <v>46</v>
      </c>
      <c r="B47" s="4" t="inlineStr">
        <is>
          <t>Colombia</t>
        </is>
      </c>
      <c r="C47" s="4" t="inlineStr">
        <is>
          <t>Congo DR</t>
        </is>
      </c>
      <c r="D47" s="4" t="n">
        <v>1</v>
      </c>
      <c r="E47" s="5" t="n">
        <v>-48</v>
      </c>
      <c r="F47" s="6" t="n">
        <v>320</v>
      </c>
      <c r="G47" s="6" t="n">
        <v>0.742466672825902</v>
      </c>
      <c r="H47" s="5" t="n">
        <v>0</v>
      </c>
      <c r="I47" s="6" t="n">
        <v>1.02058653188017</v>
      </c>
      <c r="J47" s="5" t="n">
        <v>253</v>
      </c>
      <c r="K47" s="6" t="n">
        <v>0</v>
      </c>
      <c r="L47" s="6" t="n">
        <v>0</v>
      </c>
      <c r="M47" s="5" t="n">
        <v>1</v>
      </c>
      <c r="N47" s="7">
        <f>Model!$B$5+SUMPRODUCT(E47:L47,Model!$C$5:$J$5)</f>
        <v>1.3246001164646442</v>
      </c>
      <c r="O47" s="8" t="n">
        <v>1.314849634459395</v>
      </c>
      <c r="P47" s="7">
        <f>M47-O47</f>
        <v>-0.3148496344593945</v>
      </c>
      <c r="Q47" s="8" t="n">
        <v>0.4838709677419355</v>
      </c>
      <c r="R47" s="8" t="n">
        <v>1.943213789536923</v>
      </c>
    </row>
    <row r="48">
      <c r="A48" s="4" t="n">
        <v>47</v>
      </c>
      <c r="B48" s="4" t="inlineStr">
        <is>
          <t>England</t>
        </is>
      </c>
      <c r="C48" s="4" t="inlineStr">
        <is>
          <t>Ghana</t>
        </is>
      </c>
      <c r="D48" s="4" t="n">
        <v>7</v>
      </c>
      <c r="E48" s="5" t="n">
        <v>-45</v>
      </c>
      <c r="F48" s="6" t="n">
        <v>360</v>
      </c>
      <c r="G48" s="6" t="n">
        <v>1.757784390843764</v>
      </c>
      <c r="H48" s="5" t="n">
        <v>0</v>
      </c>
      <c r="I48" s="6" t="n">
        <v>0.2980045279839878</v>
      </c>
      <c r="J48" s="5" t="n">
        <v>268</v>
      </c>
      <c r="K48" s="6" t="n">
        <v>0</v>
      </c>
      <c r="L48" s="6" t="n">
        <v>2</v>
      </c>
      <c r="M48" s="5" t="n">
        <v>0</v>
      </c>
      <c r="N48" s="7">
        <f>Model!$B$5+SUMPRODUCT(E48:L48,Model!$C$5:$J$5)</f>
        <v>1.5474943056467325</v>
      </c>
      <c r="O48" s="8" t="n">
        <v>1.50954879752539</v>
      </c>
      <c r="P48" s="7">
        <f>M48-O48</f>
        <v>-1.5095487975253903</v>
      </c>
      <c r="Q48" s="8" t="n">
        <v>0.4574468085106383</v>
      </c>
      <c r="R48" s="8" t="n">
        <v>2.199310848301348</v>
      </c>
    </row>
    <row r="49">
      <c r="A49" s="4" t="n">
        <v>48</v>
      </c>
      <c r="B49" s="4" t="inlineStr">
        <is>
          <t>Panama</t>
        </is>
      </c>
      <c r="C49" s="4" t="inlineStr">
        <is>
          <t>Croatia</t>
        </is>
      </c>
      <c r="D49" s="4" t="n">
        <v>1</v>
      </c>
      <c r="E49" s="5" t="n">
        <v>23</v>
      </c>
      <c r="F49" s="6" t="n">
        <v>-260</v>
      </c>
      <c r="G49" s="6" t="n">
        <v>-2.416792036307029</v>
      </c>
      <c r="H49" s="5" t="n">
        <v>0</v>
      </c>
      <c r="I49" s="6" t="n">
        <v>2.097825514663292</v>
      </c>
      <c r="J49" s="5" t="n">
        <v>380</v>
      </c>
      <c r="K49" s="6" t="n">
        <v>0</v>
      </c>
      <c r="L49" s="6" t="n">
        <v>-3</v>
      </c>
      <c r="M49" s="5" t="n">
        <v>-1</v>
      </c>
      <c r="N49" s="7">
        <f>Model!$B$5+SUMPRODUCT(E49:L49,Model!$C$5:$J$5)</f>
        <v>-1.3092877465514188</v>
      </c>
      <c r="O49" s="8" t="n">
        <v>-1.237501285994307</v>
      </c>
      <c r="P49" s="7">
        <f>M49-O49</f>
        <v>0.23750128599430687</v>
      </c>
      <c r="Q49" s="8" t="n">
        <v>0.4838709677419355</v>
      </c>
      <c r="R49" s="8" t="n">
        <v>-1.298835296444198</v>
      </c>
    </row>
    <row r="50">
      <c r="A50" s="4" t="n">
        <v>49</v>
      </c>
      <c r="B50" s="4" t="inlineStr">
        <is>
          <t>Czechia</t>
        </is>
      </c>
      <c r="C50" s="4" t="inlineStr">
        <is>
          <t>Mexico</t>
        </is>
      </c>
      <c r="D50" s="4" t="n">
        <v>8</v>
      </c>
      <c r="E50" s="5" t="n">
        <v>26</v>
      </c>
      <c r="F50" s="6" t="n">
        <v>-70</v>
      </c>
      <c r="G50" s="6" t="n">
        <v>-0.0193148651143424</v>
      </c>
      <c r="H50" s="5" t="n">
        <v>-1</v>
      </c>
      <c r="I50" s="6" t="n">
        <v>-0.2798925920075881</v>
      </c>
      <c r="J50" s="5" t="n">
        <v>-499</v>
      </c>
      <c r="K50" s="6" t="n">
        <v>0</v>
      </c>
      <c r="L50" s="6" t="n">
        <v>1.5</v>
      </c>
      <c r="M50" s="5" t="n">
        <v>-3</v>
      </c>
      <c r="N50" s="7">
        <f>Model!$B$5+SUMPRODUCT(E50:L50,Model!$C$5:$J$5)</f>
        <v>-0.9019195233178956</v>
      </c>
      <c r="O50" s="8" t="n">
        <v>-0.5209314281548291</v>
      </c>
      <c r="P50" s="7">
        <f>M50-O50</f>
        <v>-2.479068571845171</v>
      </c>
      <c r="Q50" s="8" t="n">
        <v>0.6063829787234043</v>
      </c>
      <c r="R50" s="8" t="n">
        <v>-0.1315570507259453</v>
      </c>
    </row>
    <row r="51">
      <c r="A51" s="4" t="n">
        <v>50</v>
      </c>
      <c r="B51" s="4" t="inlineStr">
        <is>
          <t>South Africa</t>
        </is>
      </c>
      <c r="C51" s="4" t="inlineStr">
        <is>
          <t>South Korea</t>
        </is>
      </c>
      <c r="D51" s="4" t="n">
        <v>5</v>
      </c>
      <c r="E51" s="5" t="n">
        <v>38</v>
      </c>
      <c r="F51" s="6" t="n">
        <v>-180</v>
      </c>
      <c r="G51" s="6" t="n">
        <v>-1.037924213061878</v>
      </c>
      <c r="H51" s="5" t="n">
        <v>0</v>
      </c>
      <c r="I51" s="6" t="n">
        <v>-1.257305323013746</v>
      </c>
      <c r="J51" s="5" t="n">
        <v>-436</v>
      </c>
      <c r="K51" s="6" t="n">
        <v>0</v>
      </c>
      <c r="L51" s="6" t="n">
        <v>0.5</v>
      </c>
      <c r="M51" s="5" t="n">
        <v>1</v>
      </c>
      <c r="N51" s="7">
        <f>Model!$B$5+SUMPRODUCT(E51:L51,Model!$C$5:$J$5)</f>
        <v>-0.8705046892672079</v>
      </c>
      <c r="O51" s="8" t="n">
        <v>-1.08736256618448</v>
      </c>
      <c r="P51" s="7">
        <f>M51-O51</f>
        <v>2.08736256618448</v>
      </c>
      <c r="Q51" s="8" t="n">
        <v>0.4042553191489361</v>
      </c>
      <c r="R51" s="8" t="n">
        <v>-0.9333513496169157</v>
      </c>
    </row>
    <row r="52">
      <c r="A52" s="4" t="n">
        <v>51</v>
      </c>
      <c r="B52" s="4" t="inlineStr">
        <is>
          <t>Switzerland</t>
        </is>
      </c>
      <c r="C52" s="4" t="inlineStr">
        <is>
          <t>Canada</t>
        </is>
      </c>
      <c r="D52" s="4" t="n">
        <v>7</v>
      </c>
      <c r="E52" s="5" t="n">
        <v>-14</v>
      </c>
      <c r="F52" s="6" t="n">
        <v>65</v>
      </c>
      <c r="G52" s="6" t="n">
        <v>0.5150953778353013</v>
      </c>
      <c r="H52" s="5" t="n">
        <v>-1</v>
      </c>
      <c r="I52" s="6" t="n">
        <v>1.334386352866844</v>
      </c>
      <c r="J52" s="5" t="n">
        <v>175</v>
      </c>
      <c r="K52" s="6" t="n">
        <v>0</v>
      </c>
      <c r="L52" s="6" t="n">
        <v>0.5</v>
      </c>
      <c r="M52" s="5" t="n">
        <v>1</v>
      </c>
      <c r="N52" s="7">
        <f>Model!$B$5+SUMPRODUCT(E52:L52,Model!$C$5:$J$5)</f>
        <v>-0.40198651496440146</v>
      </c>
      <c r="O52" s="8" t="n">
        <v>-1.054803445491025</v>
      </c>
      <c r="P52" s="7">
        <f>M52-O52</f>
        <v>2.054803445491025</v>
      </c>
      <c r="Q52" s="8" t="n">
        <v>0.4574468085106383</v>
      </c>
      <c r="R52" s="8" t="n">
        <v>0.5268077380729415</v>
      </c>
    </row>
    <row r="53">
      <c r="A53" s="4" t="n">
        <v>52</v>
      </c>
      <c r="B53" s="4" t="inlineStr">
        <is>
          <t>Bosnia and Herzegovina</t>
        </is>
      </c>
      <c r="C53" s="4" t="inlineStr">
        <is>
          <t>Qatar</t>
        </is>
      </c>
      <c r="D53" s="4" t="n">
        <v>10</v>
      </c>
      <c r="E53" s="5" t="n">
        <v>8</v>
      </c>
      <c r="F53" s="6" t="n">
        <v>45</v>
      </c>
      <c r="G53" s="6" t="n">
        <v>1.994116467302508</v>
      </c>
      <c r="H53" s="5" t="n">
        <v>0</v>
      </c>
      <c r="I53" s="6" t="n">
        <v>-3.051229400305385</v>
      </c>
      <c r="J53" s="5" t="n">
        <v>-973</v>
      </c>
      <c r="K53" s="6" t="n">
        <v>0</v>
      </c>
      <c r="L53" s="6" t="n">
        <v>-1</v>
      </c>
      <c r="M53" s="5" t="n">
        <v>2</v>
      </c>
      <c r="N53" s="7">
        <f>Model!$B$5+SUMPRODUCT(E53:L53,Model!$C$5:$J$5)</f>
        <v>1.4541650903390577</v>
      </c>
      <c r="O53" s="8" t="n">
        <v>1.202835553723936</v>
      </c>
      <c r="P53" s="7">
        <f>M53-O53</f>
        <v>0.7971644462760641</v>
      </c>
      <c r="Q53" s="8" t="n">
        <v>0.5212765957446809</v>
      </c>
      <c r="R53" s="8" t="n">
        <v>0.4769901429892525</v>
      </c>
    </row>
    <row r="54">
      <c r="A54" s="4" t="n">
        <v>53</v>
      </c>
      <c r="B54" s="4" t="inlineStr">
        <is>
          <t>Scotland</t>
        </is>
      </c>
      <c r="C54" s="4" t="inlineStr">
        <is>
          <t>Brazil</t>
        </is>
      </c>
      <c r="D54" s="4" t="n">
        <v>9</v>
      </c>
      <c r="E54" s="5" t="n">
        <v>33</v>
      </c>
      <c r="F54" s="6" t="n">
        <v>-310</v>
      </c>
      <c r="G54" s="6" t="n">
        <v>-1.712010404193538</v>
      </c>
      <c r="H54" s="5" t="n">
        <v>0</v>
      </c>
      <c r="I54" s="6" t="n">
        <v>-0.1605854788606286</v>
      </c>
      <c r="J54" s="5" t="n">
        <v>57</v>
      </c>
      <c r="K54" s="6" t="n">
        <v>0</v>
      </c>
      <c r="L54" s="6" t="n">
        <v>0</v>
      </c>
      <c r="M54" s="5" t="n">
        <v>-3</v>
      </c>
      <c r="N54" s="7">
        <f>Model!$B$5+SUMPRODUCT(E54:L54,Model!$C$5:$J$5)</f>
        <v>-1.7217647676258538</v>
      </c>
      <c r="O54" s="8" t="n">
        <v>-1.635390228382007</v>
      </c>
      <c r="P54" s="7">
        <f>M54-O54</f>
        <v>-1.3646097716179932</v>
      </c>
      <c r="Q54" s="8" t="n">
        <v>0.574468085106383</v>
      </c>
      <c r="R54" s="8" t="n">
        <v>-1.501749880057374</v>
      </c>
    </row>
    <row r="55">
      <c r="A55" s="4" t="n">
        <v>54</v>
      </c>
      <c r="B55" s="4" t="inlineStr">
        <is>
          <t>Morocco</t>
        </is>
      </c>
      <c r="C55" s="4" t="inlineStr">
        <is>
          <t>Haiti</t>
        </is>
      </c>
      <c r="D55" s="4" t="n">
        <v>1</v>
      </c>
      <c r="E55" s="5" t="n">
        <v>-76</v>
      </c>
      <c r="F55" s="6" t="n">
        <v>390</v>
      </c>
      <c r="G55" s="6" t="n">
        <v>2.080558985085865</v>
      </c>
      <c r="H55" s="5" t="n">
        <v>0</v>
      </c>
      <c r="I55" s="6" t="n">
        <v>-0.9091770652345624</v>
      </c>
      <c r="J55" s="5" t="n">
        <v>80</v>
      </c>
      <c r="K55" s="6" t="n">
        <v>0</v>
      </c>
      <c r="L55" s="6" t="n">
        <v>-1.5</v>
      </c>
      <c r="M55" s="5" t="n">
        <v>2</v>
      </c>
      <c r="N55" s="7">
        <f>Model!$B$5+SUMPRODUCT(E55:L55,Model!$C$5:$J$5)</f>
        <v>1.96442872552966</v>
      </c>
      <c r="O55" s="8" t="n">
        <v>2.025454650003888</v>
      </c>
      <c r="P55" s="7">
        <f>M55-O55</f>
        <v>-0.025454650003887913</v>
      </c>
      <c r="Q55" s="8" t="n">
        <v>0.4838709677419355</v>
      </c>
      <c r="R55" s="8" t="n">
        <v>2.334495575776023</v>
      </c>
    </row>
    <row r="56">
      <c r="A56" s="4" t="n">
        <v>55</v>
      </c>
      <c r="B56" s="4" t="inlineStr">
        <is>
          <t>Türkiye</t>
        </is>
      </c>
      <c r="C56" s="4" t="inlineStr">
        <is>
          <t>USA</t>
        </is>
      </c>
      <c r="D56" s="4" t="n">
        <v>7</v>
      </c>
      <c r="E56" s="5" t="n">
        <v>9</v>
      </c>
      <c r="F56" s="6" t="n">
        <v>-70</v>
      </c>
      <c r="G56" s="6" t="n">
        <v>0.2057736471933147</v>
      </c>
      <c r="H56" s="5" t="n">
        <v>-1</v>
      </c>
      <c r="I56" s="6" t="n">
        <v>0.7672300321170979</v>
      </c>
      <c r="J56" s="5" t="n">
        <v>12</v>
      </c>
      <c r="K56" s="6" t="n">
        <v>0</v>
      </c>
      <c r="L56" s="6" t="n">
        <v>1</v>
      </c>
      <c r="M56" s="5" t="n">
        <v>1</v>
      </c>
      <c r="N56" s="7">
        <f>Model!$B$5+SUMPRODUCT(E56:L56,Model!$C$5:$J$5)</f>
        <v>-0.959173358270502</v>
      </c>
      <c r="O56" s="8" t="n">
        <v>-1.68374416333266</v>
      </c>
      <c r="P56" s="7">
        <f>M56-O56</f>
        <v>2.6837441633326597</v>
      </c>
      <c r="Q56" s="8" t="n">
        <v>0.4574468085106383</v>
      </c>
      <c r="R56" s="8" t="n">
        <v>-0.2385750411841259</v>
      </c>
    </row>
    <row r="57">
      <c r="A57" s="4" t="n">
        <v>56</v>
      </c>
      <c r="B57" s="4" t="inlineStr">
        <is>
          <t>Paraguay</t>
        </is>
      </c>
      <c r="C57" s="4" t="inlineStr">
        <is>
          <t>Australia</t>
        </is>
      </c>
      <c r="D57" s="4" t="n">
        <v>2</v>
      </c>
      <c r="E57" s="5" t="n">
        <v>27</v>
      </c>
      <c r="F57" s="6" t="n">
        <v>-65</v>
      </c>
      <c r="G57" s="6" t="n">
        <v>0.6850447217136164</v>
      </c>
      <c r="H57" s="5" t="n">
        <v>0</v>
      </c>
      <c r="I57" s="6" t="n">
        <v>1.643131680092658</v>
      </c>
      <c r="J57" s="5" t="n">
        <v>-46</v>
      </c>
      <c r="K57" s="6" t="n">
        <v>0</v>
      </c>
      <c r="L57" s="6" t="n">
        <v>1</v>
      </c>
      <c r="M57" s="5" t="n">
        <v>0</v>
      </c>
      <c r="N57" s="7">
        <f>Model!$B$5+SUMPRODUCT(E57:L57,Model!$C$5:$J$5)</f>
        <v>0.6668538183971907</v>
      </c>
      <c r="O57" s="8" t="n">
        <v>0.2146114719003995</v>
      </c>
      <c r="P57" s="7">
        <f>M57-O57</f>
        <v>-0.21461147190039948</v>
      </c>
      <c r="Q57" s="8" t="n">
        <v>0.4623655913978494</v>
      </c>
      <c r="R57" s="8" t="n">
        <v>-0.2843875813454757</v>
      </c>
    </row>
    <row r="58">
      <c r="A58" s="4" t="n">
        <v>57</v>
      </c>
      <c r="B58" s="4" t="inlineStr">
        <is>
          <t>Ecuador</t>
        </is>
      </c>
      <c r="C58" s="4" t="inlineStr">
        <is>
          <t>Germany</t>
        </is>
      </c>
      <c r="D58" s="4" t="n">
        <v>4</v>
      </c>
      <c r="E58" s="5" t="n">
        <v>13</v>
      </c>
      <c r="F58" s="6" t="n">
        <v>-100</v>
      </c>
      <c r="G58" s="6" t="n">
        <v>-0.943315787945977</v>
      </c>
      <c r="H58" s="5" t="n">
        <v>0</v>
      </c>
      <c r="I58" s="6" t="n">
        <v>-1.969146527668091</v>
      </c>
      <c r="J58" s="5" t="n">
        <v>-75</v>
      </c>
      <c r="K58" s="6" t="n">
        <v>0</v>
      </c>
      <c r="L58" s="6" t="n">
        <v>-0.5</v>
      </c>
      <c r="M58" s="5" t="n">
        <v>1</v>
      </c>
      <c r="N58" s="7">
        <f>Model!$B$5+SUMPRODUCT(E58:L58,Model!$C$5:$J$5)</f>
        <v>-1.0279731642332484</v>
      </c>
      <c r="O58" s="8" t="n">
        <v>-1.181378518696412</v>
      </c>
      <c r="P58" s="7">
        <f>M58-O58</f>
        <v>2.1813785186964116</v>
      </c>
      <c r="Q58" s="8" t="n">
        <v>0.5053763440860215</v>
      </c>
      <c r="R58" s="8" t="n">
        <v>-0.3839310447364999</v>
      </c>
    </row>
    <row r="59">
      <c r="A59" s="4" t="n">
        <v>58</v>
      </c>
      <c r="B59" s="4" t="inlineStr">
        <is>
          <t>Curaçao</t>
        </is>
      </c>
      <c r="C59" s="4" t="inlineStr">
        <is>
          <t>Côte d'Ivoire</t>
        </is>
      </c>
      <c r="D59" s="4" t="n">
        <v>8</v>
      </c>
      <c r="E59" s="5" t="n">
        <v>44</v>
      </c>
      <c r="F59" s="6" t="n">
        <v>-230</v>
      </c>
      <c r="G59" s="6" t="n">
        <v>-3.008260142905463</v>
      </c>
      <c r="H59" s="5" t="n">
        <v>0</v>
      </c>
      <c r="I59" s="6" t="n">
        <v>2.171958089822567</v>
      </c>
      <c r="J59" s="5" t="n">
        <v>-87</v>
      </c>
      <c r="K59" s="6" t="n">
        <v>0</v>
      </c>
      <c r="L59" s="6" t="n">
        <v>2.5</v>
      </c>
      <c r="M59" s="5" t="n">
        <v>-2</v>
      </c>
      <c r="N59" s="7">
        <f>Model!$B$5+SUMPRODUCT(E59:L59,Model!$C$5:$J$5)</f>
        <v>-1.6917872900135613</v>
      </c>
      <c r="O59" s="8" t="n">
        <v>-1.50162668787218</v>
      </c>
      <c r="P59" s="7">
        <f>M59-O59</f>
        <v>-0.49837331212781955</v>
      </c>
      <c r="Q59" s="8" t="n">
        <v>0.6063829787234043</v>
      </c>
      <c r="R59" s="8" t="n">
        <v>-0.9955989380687416</v>
      </c>
    </row>
    <row r="60">
      <c r="A60" s="4" t="n">
        <v>59</v>
      </c>
      <c r="B60" s="4" t="inlineStr">
        <is>
          <t>Tunisia</t>
        </is>
      </c>
      <c r="C60" s="4" t="inlineStr">
        <is>
          <t>Netherlands</t>
        </is>
      </c>
      <c r="D60" s="4" t="n">
        <v>8</v>
      </c>
      <c r="E60" s="5" t="n">
        <v>37</v>
      </c>
      <c r="F60" s="6" t="n">
        <v>-270</v>
      </c>
      <c r="G60" s="6" t="n">
        <v>-2.377876883712766</v>
      </c>
      <c r="H60" s="5" t="n">
        <v>0</v>
      </c>
      <c r="I60" s="6" t="n">
        <v>-1.129784657505397</v>
      </c>
      <c r="J60" s="5" t="n">
        <v>-281</v>
      </c>
      <c r="K60" s="6" t="n">
        <v>0</v>
      </c>
      <c r="L60" s="6" t="n">
        <v>3</v>
      </c>
      <c r="M60" s="5" t="n">
        <v>-2</v>
      </c>
      <c r="N60" s="7">
        <f>Model!$B$5+SUMPRODUCT(E60:L60,Model!$C$5:$J$5)</f>
        <v>-2.2437051960721113</v>
      </c>
      <c r="O60" s="8" t="n">
        <v>-2.079716707391002</v>
      </c>
      <c r="P60" s="7">
        <f>M60-O60</f>
        <v>0.07971670739100167</v>
      </c>
      <c r="Q60" s="8" t="n">
        <v>0.6063829787234043</v>
      </c>
      <c r="R60" s="8" t="n">
        <v>-1.211609409904441</v>
      </c>
    </row>
    <row r="61">
      <c r="A61" s="4" t="n">
        <v>60</v>
      </c>
      <c r="B61" s="4" t="inlineStr">
        <is>
          <t>Japan</t>
        </is>
      </c>
      <c r="C61" s="4" t="inlineStr">
        <is>
          <t>Sweden</t>
        </is>
      </c>
      <c r="D61" s="4" t="n">
        <v>8</v>
      </c>
      <c r="E61" s="5" t="n">
        <v>-7</v>
      </c>
      <c r="F61" s="6" t="n">
        <v>65</v>
      </c>
      <c r="G61" s="6" t="n">
        <v>-0.4049850224221138</v>
      </c>
      <c r="H61" s="5" t="n">
        <v>0</v>
      </c>
      <c r="I61" s="6" t="n">
        <v>-0.061917548570527</v>
      </c>
      <c r="J61" s="5" t="n">
        <v>292</v>
      </c>
      <c r="K61" s="6" t="n">
        <v>0</v>
      </c>
      <c r="L61" s="6" t="n">
        <v>-2</v>
      </c>
      <c r="M61" s="5" t="n">
        <v>0</v>
      </c>
      <c r="N61" s="7">
        <f>Model!$B$5+SUMPRODUCT(E61:L61,Model!$C$5:$J$5)</f>
        <v>0.03715230488466678</v>
      </c>
      <c r="O61" s="8" t="n">
        <v>0.04981109082320193</v>
      </c>
      <c r="P61" s="7">
        <f>M61-O61</f>
        <v>-0.049811090823201926</v>
      </c>
      <c r="Q61" s="8" t="n">
        <v>0.6063829787234043</v>
      </c>
      <c r="R61" s="8" t="n">
        <v>0.597478291719539</v>
      </c>
    </row>
    <row r="62">
      <c r="A62" s="4" t="n">
        <v>65</v>
      </c>
      <c r="B62" s="4" t="inlineStr">
        <is>
          <t>Norway</t>
        </is>
      </c>
      <c r="C62" s="4" t="inlineStr">
        <is>
          <t>France</t>
        </is>
      </c>
      <c r="D62" s="4" t="n">
        <v>10</v>
      </c>
      <c r="E62" s="5" t="n">
        <v>41</v>
      </c>
      <c r="F62" s="6" t="n">
        <v>-325</v>
      </c>
      <c r="G62" s="6" t="n">
        <v>-0.9465125828312928</v>
      </c>
      <c r="H62" s="5" t="n">
        <v>0</v>
      </c>
      <c r="I62" s="6" t="n">
        <v>-0.1968093508134636</v>
      </c>
      <c r="J62" s="5" t="n">
        <v>1</v>
      </c>
      <c r="K62" s="6" t="n">
        <v>0</v>
      </c>
      <c r="L62" s="6" t="n">
        <v>1</v>
      </c>
      <c r="M62" s="5" t="n">
        <v>-3</v>
      </c>
      <c r="N62" s="7">
        <f>Model!$B$5+SUMPRODUCT(E62:L62,Model!$C$5:$J$5)</f>
        <v>-1.428215823980452</v>
      </c>
      <c r="O62" s="8" t="n">
        <v>-1.311706582955025</v>
      </c>
      <c r="P62" s="7">
        <f>M62-O62</f>
        <v>-1.688293417044975</v>
      </c>
      <c r="Q62" s="8" t="n">
        <v>0.5212765957446809</v>
      </c>
      <c r="R62" s="8" t="n">
        <v>-1.707808192945216</v>
      </c>
    </row>
    <row r="63">
      <c r="A63" s="4" t="n">
        <v>66</v>
      </c>
      <c r="B63" s="4" t="inlineStr">
        <is>
          <t>Senegal</t>
        </is>
      </c>
      <c r="C63" s="4" t="inlineStr">
        <is>
          <t>Iraq</t>
        </is>
      </c>
      <c r="D63" s="4" t="n">
        <v>7</v>
      </c>
      <c r="E63" s="5" t="n">
        <v>-40</v>
      </c>
      <c r="F63" s="6" t="n">
        <v>210</v>
      </c>
      <c r="G63" s="6" t="n">
        <v>3.115818733954089</v>
      </c>
      <c r="H63" s="5" t="n">
        <v>0</v>
      </c>
      <c r="I63" s="6" t="n">
        <v>0.1724845995893247</v>
      </c>
      <c r="J63" s="5" t="n">
        <v>187</v>
      </c>
      <c r="K63" s="6" t="n">
        <v>0</v>
      </c>
      <c r="L63" s="6" t="n">
        <v>-0.5</v>
      </c>
      <c r="M63" s="5" t="n">
        <v>5</v>
      </c>
      <c r="N63" s="7">
        <f>Model!$B$5+SUMPRODUCT(E63:L63,Model!$C$5:$J$5)</f>
        <v>2.131283932172616</v>
      </c>
      <c r="O63" s="8" t="n">
        <v>1.645610586135478</v>
      </c>
      <c r="P63" s="7">
        <f>M63-O63</f>
        <v>3.354389413864522</v>
      </c>
      <c r="Q63" s="8" t="n">
        <v>0.4574468085106383</v>
      </c>
      <c r="R63" s="8" t="n">
        <v>1.348885538015717</v>
      </c>
    </row>
    <row r="64">
      <c r="A64" s="4" t="n">
        <v>61</v>
      </c>
      <c r="B64" s="4" t="inlineStr">
        <is>
          <t>New Zealand</t>
        </is>
      </c>
      <c r="C64" s="4" t="inlineStr">
        <is>
          <t>Belgium</t>
        </is>
      </c>
      <c r="D64" s="4" t="n">
        <v>4</v>
      </c>
      <c r="E64" s="5" t="n">
        <v>76</v>
      </c>
      <c r="F64" s="6" t="n">
        <v>-440</v>
      </c>
      <c r="G64" s="6" t="n">
        <v>-2.76585346423099</v>
      </c>
      <c r="H64" s="5" t="n">
        <v>0</v>
      </c>
      <c r="I64" s="6" t="n">
        <v>0.6525562049175981</v>
      </c>
      <c r="J64" s="5" t="n">
        <v>-253</v>
      </c>
      <c r="K64" s="6" t="n">
        <v>0</v>
      </c>
      <c r="L64" s="6" t="n">
        <v>2</v>
      </c>
      <c r="M64" s="5" t="n">
        <v>-4</v>
      </c>
      <c r="N64" s="7">
        <f>Model!$B$5+SUMPRODUCT(E64:L64,Model!$C$5:$J$5)</f>
        <v>-2.2802169243124055</v>
      </c>
      <c r="O64" s="8" t="n">
        <v>-2.126322789379718</v>
      </c>
      <c r="P64" s="7">
        <f>M64-O64</f>
        <v>-1.873677210620282</v>
      </c>
      <c r="Q64" s="8" t="n">
        <v>0.5053763440860215</v>
      </c>
      <c r="R64" s="8" t="n">
        <v>-2.283282590468896</v>
      </c>
    </row>
    <row r="65">
      <c r="A65" s="4" t="n">
        <v>62</v>
      </c>
      <c r="B65" s="4" t="inlineStr">
        <is>
          <t>Egypt</t>
        </is>
      </c>
      <c r="C65" s="4" t="inlineStr">
        <is>
          <t>IR Iran</t>
        </is>
      </c>
      <c r="D65" s="4" t="n">
        <v>8</v>
      </c>
      <c r="E65" s="5" t="n">
        <v>16</v>
      </c>
      <c r="F65" s="6" t="n">
        <v>-90</v>
      </c>
      <c r="G65" s="6" t="n">
        <v>1.290422401081699</v>
      </c>
      <c r="H65" s="5" t="n">
        <v>0</v>
      </c>
      <c r="I65" s="6" t="n">
        <v>-1.273627125783193</v>
      </c>
      <c r="J65" s="5" t="n">
        <v>-344</v>
      </c>
      <c r="K65" s="6" t="n">
        <v>0</v>
      </c>
      <c r="L65" s="6" t="n">
        <v>0</v>
      </c>
      <c r="M65" s="5" t="n">
        <v>0</v>
      </c>
      <c r="N65" s="7">
        <f>Model!$B$5+SUMPRODUCT(E65:L65,Model!$C$5:$J$5)</f>
        <v>0.49789702174258677</v>
      </c>
      <c r="O65" s="8" t="n">
        <v>0.6241982278429228</v>
      </c>
      <c r="P65" s="7">
        <f>M65-O65</f>
        <v>-0.6241982278429228</v>
      </c>
      <c r="Q65" s="8" t="n">
        <v>0.6063829787234043</v>
      </c>
      <c r="R65" s="8" t="n">
        <v>-0.2395622866437948</v>
      </c>
    </row>
    <row r="66">
      <c r="A66" s="4" t="n">
        <v>63</v>
      </c>
      <c r="B66" s="4" t="inlineStr">
        <is>
          <t>Uruguay</t>
        </is>
      </c>
      <c r="C66" s="4" t="inlineStr">
        <is>
          <t>Spain</t>
        </is>
      </c>
      <c r="D66" s="4" t="n">
        <v>1</v>
      </c>
      <c r="E66" s="5" t="n">
        <v>14</v>
      </c>
      <c r="F66" s="6" t="n">
        <v>-160</v>
      </c>
      <c r="G66" s="6" t="n">
        <v>-1.222448443607831</v>
      </c>
      <c r="H66" s="5" t="n">
        <v>0</v>
      </c>
      <c r="I66" s="6" t="n">
        <v>1.994840204285794</v>
      </c>
      <c r="J66" s="5" t="n">
        <v>185</v>
      </c>
      <c r="K66" s="6" t="n">
        <v>0</v>
      </c>
      <c r="L66" s="6" t="n">
        <v>1.5</v>
      </c>
      <c r="M66" s="5" t="n">
        <v>-1</v>
      </c>
      <c r="N66" s="7">
        <f>Model!$B$5+SUMPRODUCT(E66:L66,Model!$C$5:$J$5)</f>
        <v>-0.8258305698200255</v>
      </c>
      <c r="O66" s="8" t="n">
        <v>-0.7516807207413256</v>
      </c>
      <c r="P66" s="7">
        <f>M66-O66</f>
        <v>-0.24831927925867436</v>
      </c>
      <c r="Q66" s="8" t="n">
        <v>0.4838709677419355</v>
      </c>
      <c r="R66" s="8" t="n">
        <v>-0.7398613161026253</v>
      </c>
    </row>
    <row r="67">
      <c r="A67" s="4" t="n">
        <v>64</v>
      </c>
      <c r="B67" s="4" t="inlineStr">
        <is>
          <t>Cabo Verde</t>
        </is>
      </c>
      <c r="C67" s="4" t="inlineStr">
        <is>
          <t>Saudi Arabia</t>
        </is>
      </c>
      <c r="D67" s="4" t="n">
        <v>1</v>
      </c>
      <c r="E67" s="5" t="n">
        <v>9</v>
      </c>
      <c r="F67" s="6" t="n">
        <v>-20</v>
      </c>
      <c r="G67" s="6" t="n">
        <v>0.191172796437737</v>
      </c>
      <c r="H67" s="5" t="n">
        <v>0</v>
      </c>
      <c r="I67" s="6" t="n">
        <v>1.160322223977257</v>
      </c>
      <c r="J67" s="5" t="n">
        <v>-102</v>
      </c>
      <c r="K67" s="6" t="n">
        <v>0</v>
      </c>
      <c r="L67" s="6" t="n">
        <v>-1.5</v>
      </c>
      <c r="M67" s="5" t="n">
        <v>0</v>
      </c>
      <c r="N67" s="7">
        <f>Model!$B$5+SUMPRODUCT(E67:L67,Model!$C$5:$J$5)</f>
        <v>0.7128893238193181</v>
      </c>
      <c r="O67" s="8" t="n">
        <v>0.7951654701998558</v>
      </c>
      <c r="P67" s="7">
        <f>M67-O67</f>
        <v>-0.7951654701998558</v>
      </c>
      <c r="Q67" s="8" t="n">
        <v>0.4838709677419355</v>
      </c>
      <c r="R67" s="8" t="n">
        <v>0.04270225637557618</v>
      </c>
    </row>
    <row r="68">
      <c r="A68" s="4" t="n">
        <v>67</v>
      </c>
      <c r="B68" s="4" t="inlineStr">
        <is>
          <t>Jordan</t>
        </is>
      </c>
      <c r="C68" s="4" t="inlineStr">
        <is>
          <t>Argentina</t>
        </is>
      </c>
      <c r="D68" s="4" t="n">
        <v>4</v>
      </c>
      <c r="E68" s="5" t="n">
        <v>62</v>
      </c>
      <c r="F68" s="6" t="n">
        <v>-540</v>
      </c>
      <c r="G68" s="6" t="n">
        <v>-3.68332216904907</v>
      </c>
      <c r="H68" s="5" t="n">
        <v>0</v>
      </c>
      <c r="I68" s="6" t="n">
        <v>-0.6526615068709489</v>
      </c>
      <c r="J68" s="5" t="n">
        <v>-188</v>
      </c>
      <c r="K68" s="6" t="n">
        <v>0</v>
      </c>
      <c r="L68" s="6" t="n">
        <v>2.5</v>
      </c>
      <c r="M68" s="5" t="n">
        <v>-2</v>
      </c>
      <c r="N68" s="7">
        <f>Model!$B$5+SUMPRODUCT(E68:L68,Model!$C$5:$J$5)</f>
        <v>-3.559698904831296</v>
      </c>
      <c r="O68" s="8" t="n">
        <v>-3.549489972421432</v>
      </c>
      <c r="P68" s="7">
        <f>M68-O68</f>
        <v>1.5494899724214322</v>
      </c>
      <c r="Q68" s="8" t="n">
        <v>0.5053763440860215</v>
      </c>
      <c r="R68" s="8" t="n">
        <v>-2.841915398037248</v>
      </c>
    </row>
    <row r="69">
      <c r="A69" s="4" t="n">
        <v>68</v>
      </c>
      <c r="B69" s="4" t="inlineStr">
        <is>
          <t>Algeria</t>
        </is>
      </c>
      <c r="C69" s="4" t="inlineStr">
        <is>
          <t>Austria</t>
        </is>
      </c>
      <c r="D69" s="4" t="n">
        <v>6</v>
      </c>
      <c r="E69" s="5" t="n">
        <v>4</v>
      </c>
      <c r="F69" s="6" t="n">
        <v>-70</v>
      </c>
      <c r="G69" s="6" t="n">
        <v>0.0466127000537817</v>
      </c>
      <c r="H69" s="5" t="n">
        <v>0</v>
      </c>
      <c r="I69" s="6" t="n">
        <v>-1.75411993892487</v>
      </c>
      <c r="J69" s="5" t="n">
        <v>-227</v>
      </c>
      <c r="K69" s="6" t="n">
        <v>0</v>
      </c>
      <c r="L69" s="6" t="n">
        <v>0.5</v>
      </c>
      <c r="M69" s="5" t="n">
        <v>0</v>
      </c>
      <c r="N69" s="7">
        <f>Model!$B$5+SUMPRODUCT(E69:L69,Model!$C$5:$J$5)</f>
        <v>-0.4021787693415294</v>
      </c>
      <c r="O69" s="8" t="n">
        <v>-0.4690470215765966</v>
      </c>
      <c r="P69" s="7">
        <f>M69-O69</f>
        <v>0.46904702157659656</v>
      </c>
      <c r="Q69" s="8" t="n">
        <v>0.4042553191489361</v>
      </c>
      <c r="R69" s="8" t="n">
        <v>-0.2180848634403958</v>
      </c>
    </row>
    <row r="70">
      <c r="A70" s="4" t="n">
        <v>69</v>
      </c>
      <c r="B70" s="4" t="inlineStr">
        <is>
          <t>Colombia</t>
        </is>
      </c>
      <c r="C70" s="4" t="inlineStr">
        <is>
          <t>Portugal</t>
        </is>
      </c>
      <c r="D70" s="4" t="n">
        <v>5</v>
      </c>
      <c r="E70" s="5" t="n">
        <v>8</v>
      </c>
      <c r="F70" s="6" t="n">
        <v>-20</v>
      </c>
      <c r="G70" s="6" t="n">
        <v>-1.206120323116082</v>
      </c>
      <c r="H70" s="5" t="n">
        <v>0</v>
      </c>
      <c r="I70" s="6" t="n">
        <v>2.054019902069186</v>
      </c>
      <c r="J70" s="5" t="n">
        <v>-117</v>
      </c>
      <c r="K70" s="6" t="n">
        <v>0</v>
      </c>
      <c r="L70" s="6" t="n">
        <v>0</v>
      </c>
      <c r="M70" s="5" t="n">
        <v>0</v>
      </c>
      <c r="N70" s="7">
        <f>Model!$B$5+SUMPRODUCT(E70:L70,Model!$C$5:$J$5)</f>
        <v>0.046963727886355014</v>
      </c>
      <c r="O70" s="8" t="n">
        <v>-0.2742846491972882</v>
      </c>
      <c r="P70" s="7">
        <f>M70-O70</f>
        <v>0.2742846491972882</v>
      </c>
      <c r="Q70" s="8" t="n">
        <v>0.4042553191489361</v>
      </c>
      <c r="R70" s="8" t="n">
        <v>-0.03383852608736453</v>
      </c>
    </row>
    <row r="71">
      <c r="A71" s="4" t="n">
        <v>70</v>
      </c>
      <c r="B71" s="4" t="inlineStr">
        <is>
          <t>Congo DR</t>
        </is>
      </c>
      <c r="C71" s="4" t="inlineStr">
        <is>
          <t>Uzbekistan</t>
        </is>
      </c>
      <c r="D71" s="4" t="n">
        <v>5</v>
      </c>
      <c r="E71" s="5" t="n">
        <v>11</v>
      </c>
      <c r="F71" s="6" t="n">
        <v>20</v>
      </c>
      <c r="G71" s="6" t="n">
        <v>0.5225925213448264</v>
      </c>
      <c r="H71" s="5" t="n">
        <v>0</v>
      </c>
      <c r="I71" s="6" t="n">
        <v>0.8554730690254289</v>
      </c>
      <c r="J71" s="5" t="n">
        <v>-166</v>
      </c>
      <c r="K71" s="6" t="n">
        <v>0</v>
      </c>
      <c r="L71" s="6" t="n">
        <v>-3</v>
      </c>
      <c r="M71" s="5" t="n">
        <v>2</v>
      </c>
      <c r="N71" s="7">
        <f>Model!$B$5+SUMPRODUCT(E71:L71,Model!$C$5:$J$5)</f>
        <v>1.1750192873010739</v>
      </c>
      <c r="O71" s="8" t="n">
        <v>1.005417595079004</v>
      </c>
      <c r="P71" s="7">
        <f>M71-O71</f>
        <v>0.9945824049209959</v>
      </c>
      <c r="Q71" s="8" t="n">
        <v>0.4042553191489361</v>
      </c>
      <c r="R71" s="8" t="n">
        <v>0.1910396797950233</v>
      </c>
    </row>
    <row r="72">
      <c r="A72" s="4" t="n">
        <v>71</v>
      </c>
      <c r="B72" s="4" t="inlineStr">
        <is>
          <t>Panama</t>
        </is>
      </c>
      <c r="C72" s="4" t="inlineStr">
        <is>
          <t>England</t>
        </is>
      </c>
      <c r="D72" s="4" t="n">
        <v>7</v>
      </c>
      <c r="E72" s="5" t="n">
        <v>30</v>
      </c>
      <c r="F72" s="6" t="n">
        <v>-370</v>
      </c>
      <c r="G72" s="6" t="n">
        <v>-3.672832428516418</v>
      </c>
      <c r="H72" s="5" t="n">
        <v>0</v>
      </c>
      <c r="I72" s="6" t="n">
        <v>3.153372295056077</v>
      </c>
      <c r="J72" s="5" t="n">
        <v>703</v>
      </c>
      <c r="K72" s="6" t="n">
        <v>0</v>
      </c>
      <c r="L72" s="6" t="n">
        <v>0</v>
      </c>
      <c r="M72" s="5" t="n">
        <v>-2</v>
      </c>
      <c r="N72" s="7">
        <f>Model!$B$5+SUMPRODUCT(E72:L72,Model!$C$5:$J$5)</f>
        <v>-2.640222498677834</v>
      </c>
      <c r="O72" s="8" t="n">
        <v>-2.877239426669944</v>
      </c>
      <c r="P72" s="7">
        <f>M72-O72</f>
        <v>0.8772394266699437</v>
      </c>
      <c r="Q72" s="8" t="n">
        <v>0.4574468085106383</v>
      </c>
      <c r="R72" s="8" t="n">
        <v>-1.939425661755386</v>
      </c>
    </row>
    <row r="73">
      <c r="A73" s="4" t="n">
        <v>72</v>
      </c>
      <c r="B73" s="4" t="inlineStr">
        <is>
          <t>Croatia</t>
        </is>
      </c>
      <c r="C73" s="4" t="inlineStr">
        <is>
          <t>Ghana</t>
        </is>
      </c>
      <c r="D73" s="4" t="n">
        <v>10</v>
      </c>
      <c r="E73" s="5" t="n">
        <v>-38</v>
      </c>
      <c r="F73" s="6" t="n">
        <v>250</v>
      </c>
      <c r="G73" s="6" t="n">
        <v>0.5017439986343746</v>
      </c>
      <c r="H73" s="5" t="n">
        <v>0</v>
      </c>
      <c r="I73" s="6" t="n">
        <v>1.353551308376773</v>
      </c>
      <c r="J73" s="5" t="n">
        <v>591</v>
      </c>
      <c r="K73" s="6" t="n">
        <v>0</v>
      </c>
      <c r="L73" s="6" t="n">
        <v>2</v>
      </c>
      <c r="M73" s="5" t="n">
        <v>1</v>
      </c>
      <c r="N73" s="7">
        <f>Model!$B$5+SUMPRODUCT(E73:L73,Model!$C$5:$J$5)</f>
        <v>0.5794349941426915</v>
      </c>
      <c r="O73" s="8" t="n">
        <v>0.9078105734742206</v>
      </c>
      <c r="P73" s="7">
        <f>M73-O73</f>
        <v>0.09218942652577944</v>
      </c>
      <c r="Q73" s="8" t="n">
        <v>0.5212765957446809</v>
      </c>
      <c r="R73" s="8" t="n">
        <v>1.687486518304296</v>
      </c>
    </row>
    <row r="74">
      <c r="A74" s="4" t="n">
        <v>73</v>
      </c>
      <c r="B74" s="4" t="inlineStr">
        <is>
          <t>South Africa</t>
        </is>
      </c>
      <c r="C74" s="4" t="inlineStr">
        <is>
          <t>Canada</t>
        </is>
      </c>
      <c r="D74" s="4" t="n">
        <v>3</v>
      </c>
      <c r="E74" s="5" t="n">
        <v>27</v>
      </c>
      <c r="F74" s="6" t="n">
        <v>-175</v>
      </c>
      <c r="G74" s="6" t="n">
        <v>-1.394635114642512</v>
      </c>
      <c r="H74" s="5" t="n">
        <v>0</v>
      </c>
      <c r="I74" s="6" t="n">
        <v>-0.1642710472279276</v>
      </c>
      <c r="J74" s="5" t="n">
        <v>-435</v>
      </c>
      <c r="K74" s="6" t="n">
        <v>0</v>
      </c>
      <c r="L74" s="6" t="n">
        <v>0</v>
      </c>
      <c r="M74" s="5" t="n">
        <v>-1</v>
      </c>
      <c r="N74" s="7">
        <f>Model!$B$5+SUMPRODUCT(E74:L74,Model!$C$5:$J$5)</f>
        <v>-0.7486013612494278</v>
      </c>
      <c r="O74" s="8" t="n">
        <v>-0.7066452817299127</v>
      </c>
      <c r="P74" s="7">
        <f>M74-O74</f>
        <v>-0.2933547182700873</v>
      </c>
      <c r="Q74" s="8" t="n">
        <v>0.3870967741935484</v>
      </c>
      <c r="R74" s="8" t="n">
        <v>-0.8310340402273912</v>
      </c>
    </row>
    <row r="75">
      <c r="A75" s="4" t="n">
        <v>74</v>
      </c>
      <c r="B75" s="4" t="inlineStr">
        <is>
          <t>Brazil</t>
        </is>
      </c>
      <c r="C75" s="4" t="inlineStr">
        <is>
          <t>Japan</t>
        </is>
      </c>
      <c r="D75" s="4" t="n">
        <v>5</v>
      </c>
      <c r="E75" s="5" t="n">
        <v>-12</v>
      </c>
      <c r="F75" s="6" t="n">
        <v>150</v>
      </c>
      <c r="G75" s="6" t="n">
        <v>1.247713187119253</v>
      </c>
      <c r="H75" s="5" t="n">
        <v>0</v>
      </c>
      <c r="I75" s="6" t="n">
        <v>1.867846048544198</v>
      </c>
      <c r="J75" s="5" t="n">
        <v>109</v>
      </c>
      <c r="K75" s="6" t="n">
        <v>1</v>
      </c>
      <c r="L75" s="6" t="n">
        <v>-0.6666666666666667</v>
      </c>
      <c r="M75" s="5" t="n">
        <v>1</v>
      </c>
      <c r="N75" s="7">
        <f>Model!$B$5+SUMPRODUCT(E75:L75,Model!$C$5:$J$5)</f>
        <v>1.6844167272445096</v>
      </c>
      <c r="O75" s="8" t="n">
        <v>1.715269377316093</v>
      </c>
      <c r="P75" s="7">
        <f>M75-O75</f>
        <v>-0.7152693773160925</v>
      </c>
      <c r="Q75" s="8" t="n">
        <v>0.4042553191489361</v>
      </c>
      <c r="R75" s="8" t="n">
        <v>0.9218938489127836</v>
      </c>
    </row>
    <row r="76">
      <c r="A76" s="4" t="n">
        <v>75</v>
      </c>
      <c r="B76" s="4" t="inlineStr">
        <is>
          <t>Germany</t>
        </is>
      </c>
      <c r="C76" s="4" t="inlineStr">
        <is>
          <t>Paraguay</t>
        </is>
      </c>
      <c r="D76" s="4" t="n">
        <v>10</v>
      </c>
      <c r="E76" s="5" t="n">
        <v>-44</v>
      </c>
      <c r="F76" s="6" t="n">
        <v>245</v>
      </c>
      <c r="G76" s="6" t="n">
        <v>1.818621804609585</v>
      </c>
      <c r="H76" s="5" t="n">
        <v>0</v>
      </c>
      <c r="I76" s="6" t="n">
        <v>-0.9558258305691538</v>
      </c>
      <c r="J76" s="5" t="n">
        <v>155</v>
      </c>
      <c r="K76" s="6" t="n">
        <v>-1</v>
      </c>
      <c r="L76" s="6" t="n">
        <v>0</v>
      </c>
      <c r="M76" s="5" t="n">
        <v>0</v>
      </c>
      <c r="N76" s="7">
        <f>Model!$B$5+SUMPRODUCT(E76:L76,Model!$C$5:$J$5)</f>
        <v>1.1652732491531694</v>
      </c>
      <c r="O76" s="8" t="n">
        <v>1.332717480166589</v>
      </c>
      <c r="P76" s="7">
        <f>M76-O76</f>
        <v>-1.3327174801665893</v>
      </c>
      <c r="Q76" s="8" t="n">
        <v>0.5212765957446809</v>
      </c>
      <c r="R76" s="8" t="n">
        <v>1.657962216467344</v>
      </c>
    </row>
    <row r="77">
      <c r="A77" s="4" t="n">
        <v>76</v>
      </c>
      <c r="B77" s="4" t="inlineStr">
        <is>
          <t>Netherlands</t>
        </is>
      </c>
      <c r="C77" s="4" t="inlineStr">
        <is>
          <t>Morocco</t>
        </is>
      </c>
      <c r="D77" s="4" t="n">
        <v>8</v>
      </c>
      <c r="E77" s="5" t="n">
        <v>1</v>
      </c>
      <c r="F77" s="6" t="n">
        <v>60</v>
      </c>
      <c r="G77" s="6" t="n">
        <v>0.5215342195773367</v>
      </c>
      <c r="H77" s="5" t="n">
        <v>0</v>
      </c>
      <c r="I77" s="6" t="n">
        <v>1.175485705259838</v>
      </c>
      <c r="J77" s="5" t="n">
        <v>154</v>
      </c>
      <c r="K77" s="6" t="n">
        <v>-1</v>
      </c>
      <c r="L77" s="6" t="n">
        <v>0.3333333333333332</v>
      </c>
      <c r="M77" s="5" t="n">
        <v>0</v>
      </c>
      <c r="N77" s="7">
        <f>Model!$B$5+SUMPRODUCT(E77:L77,Model!$C$5:$J$5)</f>
        <v>0.5894760618461891</v>
      </c>
      <c r="O77" s="8" t="n">
        <v>0.6740962385757446</v>
      </c>
      <c r="P77" s="7">
        <f>M77-O77</f>
        <v>-0.6740962385757446</v>
      </c>
      <c r="Q77" s="8" t="n">
        <v>0.6063829787234043</v>
      </c>
      <c r="R77" s="8" t="n">
        <v>0.5704769827400766</v>
      </c>
    </row>
    <row r="78">
      <c r="A78" s="4" t="n">
        <v>77</v>
      </c>
      <c r="B78" s="4" t="inlineStr">
        <is>
          <t>Côte d'Ivoire</t>
        </is>
      </c>
      <c r="C78" s="4" t="inlineStr">
        <is>
          <t>Norway</t>
        </is>
      </c>
      <c r="D78" s="4" t="n">
        <v>3</v>
      </c>
      <c r="E78" s="5" t="n">
        <v>-6</v>
      </c>
      <c r="F78" s="6" t="n">
        <v>-25</v>
      </c>
      <c r="G78" s="6" t="n">
        <v>-0.1220938905925237</v>
      </c>
      <c r="H78" s="5" t="n">
        <v>0</v>
      </c>
      <c r="I78" s="6" t="n">
        <v>-0.9551940188490456</v>
      </c>
      <c r="J78" s="5" t="n">
        <v>-95</v>
      </c>
      <c r="K78" s="6" t="n">
        <v>0</v>
      </c>
      <c r="L78" s="6" t="n">
        <v>-1.666666666666667</v>
      </c>
      <c r="M78" s="5" t="n">
        <v>-1</v>
      </c>
      <c r="N78" s="7">
        <f>Model!$B$5+SUMPRODUCT(E78:L78,Model!$C$5:$J$5)</f>
        <v>-0.035824165272830964</v>
      </c>
      <c r="O78" s="8" t="n">
        <v>-0.02730379084167998</v>
      </c>
      <c r="P78" s="7">
        <f>M78-O78</f>
        <v>-0.97269620915832</v>
      </c>
      <c r="Q78" s="8" t="n">
        <v>0.3870967741935484</v>
      </c>
      <c r="R78" s="8" t="n">
        <v>-0.01011979572632324</v>
      </c>
    </row>
    <row r="79">
      <c r="A79" s="4" t="n">
        <v>78</v>
      </c>
      <c r="B79" s="4" t="inlineStr">
        <is>
          <t>France</t>
        </is>
      </c>
      <c r="C79" s="4" t="inlineStr">
        <is>
          <t>Sweden</t>
        </is>
      </c>
      <c r="D79" s="4" t="n">
        <v>2</v>
      </c>
      <c r="E79" s="5" t="n">
        <v>-22</v>
      </c>
      <c r="F79" s="6" t="n">
        <v>285</v>
      </c>
      <c r="G79" s="6" t="n">
        <v>1.3199154293143</v>
      </c>
      <c r="H79" s="5" t="n">
        <v>0</v>
      </c>
      <c r="I79" s="6" t="n">
        <v>-0.5560996156478666</v>
      </c>
      <c r="J79" s="5" t="n">
        <v>285</v>
      </c>
      <c r="K79" s="6" t="n">
        <v>0</v>
      </c>
      <c r="L79" s="6" t="n">
        <v>-1.666666666666667</v>
      </c>
      <c r="M79" s="5" t="n">
        <v>3</v>
      </c>
      <c r="N79" s="7">
        <f>Model!$B$5+SUMPRODUCT(E79:L79,Model!$C$5:$J$5)</f>
        <v>1.3945595165730595</v>
      </c>
      <c r="O79" s="8" t="n">
        <v>1.676592121692723</v>
      </c>
      <c r="P79" s="7">
        <f>M79-O79</f>
        <v>1.3234078783072771</v>
      </c>
      <c r="Q79" s="8" t="n">
        <v>0.4623655913978494</v>
      </c>
      <c r="R79" s="8" t="n">
        <v>1.810124764436104</v>
      </c>
    </row>
    <row r="80">
      <c r="A80" s="4" t="n">
        <v>79</v>
      </c>
      <c r="B80" s="4" t="inlineStr">
        <is>
          <t>Mexico</t>
        </is>
      </c>
      <c r="C80" s="4" t="inlineStr">
        <is>
          <t>Ecuador</t>
        </is>
      </c>
      <c r="D80" s="4" t="n">
        <v>4</v>
      </c>
      <c r="E80" s="5" t="n">
        <v>-9</v>
      </c>
      <c r="F80" s="6" t="n">
        <v>-60</v>
      </c>
      <c r="G80" s="6" t="n">
        <v>-0.6532694885471386</v>
      </c>
      <c r="H80" s="5" t="n">
        <v>1</v>
      </c>
      <c r="I80" s="6" t="n">
        <v>1.823092718369935</v>
      </c>
      <c r="J80" s="5" t="n">
        <v>452</v>
      </c>
      <c r="K80" s="6" t="n">
        <v>2</v>
      </c>
      <c r="L80" s="6" t="n">
        <v>-0.6666666666666666</v>
      </c>
      <c r="M80" s="5" t="n">
        <v>2</v>
      </c>
      <c r="N80" s="7">
        <f>Model!$B$5+SUMPRODUCT(E80:L80,Model!$C$5:$J$5)</f>
        <v>0.8721382164232383</v>
      </c>
      <c r="O80" s="8" t="n">
        <v>0.6100802748449587</v>
      </c>
      <c r="P80" s="7">
        <f>M80-O80</f>
        <v>1.3899197251550413</v>
      </c>
      <c r="Q80" s="8" t="n">
        <v>0.5053763440860215</v>
      </c>
      <c r="R80" s="8" t="n">
        <v>-0.1604779217091591</v>
      </c>
    </row>
    <row r="81">
      <c r="A81" s="4" t="n">
        <v>80</v>
      </c>
      <c r="B81" s="4" t="inlineStr">
        <is>
          <t>England</t>
        </is>
      </c>
      <c r="C81" s="4" t="inlineStr">
        <is>
          <t>Congo DR</t>
        </is>
      </c>
      <c r="D81" s="4" t="n">
        <v>4</v>
      </c>
      <c r="E81" s="5" t="n">
        <v>-57</v>
      </c>
      <c r="F81" s="6" t="n">
        <v>380</v>
      </c>
      <c r="G81" s="6" t="n">
        <v>2.246121364836775</v>
      </c>
      <c r="H81" s="5" t="n">
        <v>0</v>
      </c>
      <c r="I81" s="6" t="n">
        <v>-1.795503606591904</v>
      </c>
      <c r="J81" s="5" t="n">
        <v>47</v>
      </c>
      <c r="K81" s="6" t="n">
        <v>0</v>
      </c>
      <c r="L81" s="6" t="n">
        <v>-0.3333333333333333</v>
      </c>
      <c r="M81" s="5" t="n">
        <v>1</v>
      </c>
      <c r="N81" s="7">
        <f>Model!$B$5+SUMPRODUCT(E81:L81,Model!$C$5:$J$5)</f>
        <v>1.758067796669786</v>
      </c>
      <c r="O81" s="8" t="n">
        <v>1.709537938663934</v>
      </c>
      <c r="P81" s="7">
        <f>M81-O81</f>
        <v>-0.7095379386639338</v>
      </c>
      <c r="Q81" s="8" t="n">
        <v>0.5053763440860215</v>
      </c>
      <c r="R81" s="8" t="n">
        <v>2.297506431591589</v>
      </c>
    </row>
    <row r="82">
      <c r="A82" s="4" t="n">
        <v>81</v>
      </c>
      <c r="B82" s="4" t="inlineStr">
        <is>
          <t>Belgium</t>
        </is>
      </c>
      <c r="C82" s="4" t="inlineStr">
        <is>
          <t>Senegal</t>
        </is>
      </c>
      <c r="D82" s="4" t="n">
        <v>2</v>
      </c>
      <c r="E82" s="5" t="n">
        <v>-6</v>
      </c>
      <c r="F82" s="6" t="n">
        <v>110</v>
      </c>
      <c r="G82" s="6" t="n">
        <v>0.1355425460585984</v>
      </c>
      <c r="H82" s="5" t="n">
        <v>0</v>
      </c>
      <c r="I82" s="6" t="n">
        <v>0.5272468804296295</v>
      </c>
      <c r="J82" s="5" t="n">
        <v>69</v>
      </c>
      <c r="K82" s="6" t="n">
        <v>-1</v>
      </c>
      <c r="L82" s="6" t="n">
        <v>-1.333333333333334</v>
      </c>
      <c r="M82" s="5" t="n">
        <v>1</v>
      </c>
      <c r="N82" s="7">
        <f>Model!$B$5+SUMPRODUCT(E82:L82,Model!$C$5:$J$5)</f>
        <v>0.631974065239497</v>
      </c>
      <c r="O82" s="8" t="n">
        <v>0.936951339716816</v>
      </c>
      <c r="P82" s="7">
        <f>M82-O82</f>
        <v>0.06304866028318401</v>
      </c>
      <c r="Q82" s="8" t="n">
        <v>0.4623655913978494</v>
      </c>
      <c r="R82" s="8" t="n">
        <v>0.7628685915453142</v>
      </c>
    </row>
    <row r="83">
      <c r="A83" s="4" t="n">
        <v>82</v>
      </c>
      <c r="B83" s="4" t="inlineStr">
        <is>
          <t>USA</t>
        </is>
      </c>
      <c r="C83" s="4" t="inlineStr">
        <is>
          <t>Bosnia and Herzegovina</t>
        </is>
      </c>
      <c r="D83" s="4" t="n">
        <v>6</v>
      </c>
      <c r="E83" s="5" t="n">
        <v>-47</v>
      </c>
      <c r="F83" s="6" t="n">
        <v>205</v>
      </c>
      <c r="G83" s="6" t="n">
        <v>0.9684579612091788</v>
      </c>
      <c r="H83" s="5" t="n">
        <v>1</v>
      </c>
      <c r="I83" s="6" t="n">
        <v>0.4484810193229158</v>
      </c>
      <c r="J83" s="5" t="n">
        <v>364</v>
      </c>
      <c r="K83" s="6" t="n">
        <v>-1</v>
      </c>
      <c r="L83" s="6" t="n">
        <v>-0.6666666666666667</v>
      </c>
      <c r="M83" s="5" t="n">
        <v>2</v>
      </c>
      <c r="N83" s="7">
        <f>Model!$B$5+SUMPRODUCT(E83:L83,Model!$C$5:$J$5)</f>
        <v>1.8753185610794398</v>
      </c>
      <c r="O83" s="8" t="n">
        <v>1.524776353197899</v>
      </c>
      <c r="P83" s="7">
        <f>M83-O83</f>
        <v>0.4752236468021014</v>
      </c>
      <c r="Q83" s="8" t="n">
        <v>0.4042553191489361</v>
      </c>
      <c r="R83" s="8" t="n">
        <v>1.203699822369081</v>
      </c>
    </row>
    <row r="84">
      <c r="A84" s="4" t="n">
        <v>83</v>
      </c>
      <c r="B84" s="4" t="inlineStr">
        <is>
          <t>Spain</t>
        </is>
      </c>
      <c r="C84" s="4" t="inlineStr">
        <is>
          <t>Austria</t>
        </is>
      </c>
      <c r="D84" s="4" t="n">
        <v>10</v>
      </c>
      <c r="E84" s="5" t="n">
        <v>-22</v>
      </c>
      <c r="F84" s="6" t="n">
        <v>290</v>
      </c>
      <c r="G84" s="6" t="n">
        <v>1.604531933665246</v>
      </c>
      <c r="H84" s="5" t="n">
        <v>0</v>
      </c>
      <c r="I84" s="6" t="n">
        <v>-1.864055178223552</v>
      </c>
      <c r="J84" s="5" t="n">
        <v>-262</v>
      </c>
      <c r="K84" s="6" t="n">
        <v>0</v>
      </c>
      <c r="L84" s="6" t="n">
        <v>-2</v>
      </c>
      <c r="M84" s="5" t="n">
        <v>3</v>
      </c>
      <c r="N84" s="7">
        <f>Model!$B$5+SUMPRODUCT(E84:L84,Model!$C$5:$J$5)</f>
        <v>1.7276132318759563</v>
      </c>
      <c r="O84" s="8" t="n">
        <v>1.609234741567886</v>
      </c>
      <c r="P84" s="7">
        <f>M84-O84</f>
        <v>1.3907652584321137</v>
      </c>
      <c r="Q84" s="8" t="n">
        <v>0.5212765957446809</v>
      </c>
      <c r="R84" s="8" t="n">
        <v>1.923680932999914</v>
      </c>
    </row>
    <row r="85">
      <c r="A85" s="4" t="n">
        <v>84</v>
      </c>
      <c r="B85" s="4" t="inlineStr">
        <is>
          <t>Portugal</t>
        </is>
      </c>
      <c r="C85" s="4" t="inlineStr">
        <is>
          <t>Croatia</t>
        </is>
      </c>
      <c r="D85" s="4" t="n">
        <v>7</v>
      </c>
      <c r="E85" s="5" t="n">
        <v>-6</v>
      </c>
      <c r="F85" s="6" t="n">
        <v>70</v>
      </c>
      <c r="G85" s="6" t="n">
        <v>0.958506023314598</v>
      </c>
      <c r="H85" s="5" t="n">
        <v>0</v>
      </c>
      <c r="I85" s="6" t="n">
        <v>-0.2934765439898967</v>
      </c>
      <c r="J85" s="5" t="n">
        <v>0</v>
      </c>
      <c r="K85" s="6" t="n">
        <v>0</v>
      </c>
      <c r="L85" s="6" t="n">
        <v>-1.333333333333334</v>
      </c>
      <c r="M85" s="5" t="n">
        <v>1</v>
      </c>
      <c r="N85" s="7">
        <f>Model!$B$5+SUMPRODUCT(E85:L85,Model!$C$5:$J$5)</f>
        <v>0.8613064901183698</v>
      </c>
      <c r="O85" s="8" t="n">
        <v>0.7239341509206424</v>
      </c>
      <c r="P85" s="7">
        <f>M85-O85</f>
        <v>0.2760658490793576</v>
      </c>
      <c r="Q85" s="8" t="n">
        <v>0.4574468085106383</v>
      </c>
      <c r="R85" s="8" t="n">
        <v>0.5551552484157958</v>
      </c>
    </row>
    <row r="86">
      <c r="A86" s="4" t="n">
        <v>85</v>
      </c>
      <c r="B86" s="4" t="inlineStr">
        <is>
          <t>Switzerland</t>
        </is>
      </c>
      <c r="C86" s="4" t="inlineStr">
        <is>
          <t>Algeria</t>
        </is>
      </c>
      <c r="D86" s="4" t="n">
        <v>5</v>
      </c>
      <c r="E86" s="5" t="n">
        <v>-9</v>
      </c>
      <c r="F86" s="6" t="n">
        <v>100</v>
      </c>
      <c r="G86" s="6" t="n">
        <v>0.2579529559800697</v>
      </c>
      <c r="H86" s="5" t="n">
        <v>0</v>
      </c>
      <c r="I86" s="6" t="n">
        <v>1.449691991786448</v>
      </c>
      <c r="J86" s="5" t="n">
        <v>355</v>
      </c>
      <c r="K86" s="6" t="n">
        <v>3</v>
      </c>
      <c r="L86" s="6" t="n">
        <v>-1.333333333333334</v>
      </c>
      <c r="M86" s="5" t="n">
        <v>2</v>
      </c>
      <c r="N86" s="7">
        <f>Model!$B$5+SUMPRODUCT(E86:L86,Model!$C$5:$J$5)</f>
        <v>0.9630137970148455</v>
      </c>
      <c r="O86" s="8" t="n">
        <v>0.9996689516465183</v>
      </c>
      <c r="P86" s="7">
        <f>M86-O86</f>
        <v>1.0003310483534817</v>
      </c>
      <c r="Q86" s="8" t="n">
        <v>0.4042553191489361</v>
      </c>
      <c r="R86" s="8" t="n">
        <v>0.6407960915597989</v>
      </c>
    </row>
    <row r="87">
      <c r="A87" s="4" t="n">
        <v>86</v>
      </c>
      <c r="B87" s="4" t="inlineStr">
        <is>
          <t>Australia</t>
        </is>
      </c>
      <c r="C87" s="4" t="inlineStr">
        <is>
          <t>Egypt</t>
        </is>
      </c>
      <c r="D87" s="4" t="n">
        <v>3</v>
      </c>
      <c r="E87" s="5" t="n">
        <v>-9</v>
      </c>
      <c r="F87" s="6" t="n">
        <v>60</v>
      </c>
      <c r="G87" s="6" t="n">
        <v>-0.4080870175855011</v>
      </c>
      <c r="H87" s="5" t="n">
        <v>0</v>
      </c>
      <c r="I87" s="6" t="n">
        <v>-1.699468225135561</v>
      </c>
      <c r="J87" s="5" t="n">
        <v>-96</v>
      </c>
      <c r="K87" s="6" t="n">
        <v>2</v>
      </c>
      <c r="L87" s="6" t="n">
        <v>-0.3333333333333333</v>
      </c>
      <c r="M87" s="5" t="n">
        <v>0</v>
      </c>
      <c r="N87" s="7">
        <f>Model!$B$5+SUMPRODUCT(E87:L87,Model!$C$5:$J$5)</f>
        <v>-0.11331571613775943</v>
      </c>
      <c r="O87" s="8" t="n">
        <v>-0.09781073925726824</v>
      </c>
      <c r="P87" s="7">
        <f>M87-O87</f>
        <v>0.09781073925726824</v>
      </c>
      <c r="Q87" s="8" t="n">
        <v>0.3870967741935484</v>
      </c>
      <c r="R87" s="8" t="n">
        <v>0.4550649428242819</v>
      </c>
    </row>
    <row r="88">
      <c r="A88" s="4" t="n">
        <v>87</v>
      </c>
      <c r="B88" s="4" t="inlineStr">
        <is>
          <t>Argentina</t>
        </is>
      </c>
      <c r="C88" s="4" t="inlineStr">
        <is>
          <t>Cabo Verde</t>
        </is>
      </c>
      <c r="D88" s="4" t="n">
        <v>10</v>
      </c>
      <c r="E88" s="5" t="n">
        <v>-66</v>
      </c>
      <c r="F88" s="6" t="n">
        <v>510</v>
      </c>
      <c r="G88" s="6" t="n">
        <v>2.797033687478717</v>
      </c>
      <c r="H88" s="5" t="n">
        <v>0</v>
      </c>
      <c r="I88" s="6" t="n">
        <v>-0.558205654714893</v>
      </c>
      <c r="J88" s="5" t="n">
        <v>426</v>
      </c>
      <c r="K88" s="6" t="n">
        <v>0</v>
      </c>
      <c r="L88" s="6" t="n">
        <v>-0.3333333333333333</v>
      </c>
      <c r="M88" s="5" t="n">
        <v>1</v>
      </c>
      <c r="N88" s="7">
        <f>Model!$B$5+SUMPRODUCT(E88:L88,Model!$C$5:$J$5)</f>
        <v>2.4045300527946547</v>
      </c>
      <c r="O88" s="8" t="n">
        <v>2.673854659704425</v>
      </c>
      <c r="P88" s="7">
        <f>M88-O88</f>
        <v>-1.6738546597044248</v>
      </c>
      <c r="Q88" s="8" t="n">
        <v>0.5212765957446809</v>
      </c>
      <c r="R88" s="8" t="n">
        <v>3.222750213825814</v>
      </c>
    </row>
    <row r="89">
      <c r="A89" s="4" t="n">
        <v>88</v>
      </c>
      <c r="B89" s="4" t="inlineStr">
        <is>
          <t>Colombia</t>
        </is>
      </c>
      <c r="C89" s="4" t="inlineStr">
        <is>
          <t>Ghana</t>
        </is>
      </c>
      <c r="D89" s="4" t="n">
        <v>9</v>
      </c>
      <c r="E89" s="5" t="n">
        <v>-36</v>
      </c>
      <c r="F89" s="6" t="n">
        <v>300</v>
      </c>
      <c r="G89" s="6" t="n">
        <v>0.2541296988328909</v>
      </c>
      <c r="H89" s="5" t="n">
        <v>0</v>
      </c>
      <c r="I89" s="6" t="n">
        <v>3.114094666456062</v>
      </c>
      <c r="J89" s="5" t="n">
        <v>474</v>
      </c>
      <c r="K89" s="6" t="n">
        <v>0</v>
      </c>
      <c r="L89" s="6" t="n">
        <v>-0.3333333333333333</v>
      </c>
      <c r="M89" s="5" t="n">
        <v>1</v>
      </c>
      <c r="N89" s="7">
        <f>Model!$B$5+SUMPRODUCT(E89:L89,Model!$C$5:$J$5)</f>
        <v>1.4365825726614794</v>
      </c>
      <c r="O89" s="8" t="n">
        <v>1.473478085550613</v>
      </c>
      <c r="P89" s="7">
        <f>M89-O89</f>
        <v>-0.47347808555061266</v>
      </c>
      <c r="Q89" s="8" t="n">
        <v>0.574468085106383</v>
      </c>
      <c r="R89" s="8" t="n">
        <v>1.880361998422451</v>
      </c>
    </row>
    <row r="90">
      <c r="A90" s="4" t="n">
        <v>89</v>
      </c>
      <c r="B90" s="4" t="inlineStr">
        <is>
          <t>Paraguay</t>
        </is>
      </c>
      <c r="C90" s="4" t="inlineStr">
        <is>
          <t>France</t>
        </is>
      </c>
      <c r="D90" s="4" t="n">
        <v>2</v>
      </c>
      <c r="E90" s="5" t="n">
        <v>51</v>
      </c>
      <c r="F90" s="6" t="n">
        <v>-375</v>
      </c>
      <c r="G90" s="6" t="n">
        <v>-2.29178832526383</v>
      </c>
      <c r="H90" s="5" t="n">
        <v>0</v>
      </c>
      <c r="I90" s="6" t="n">
        <v>2.001579529300262</v>
      </c>
      <c r="J90" s="5" t="n">
        <v>-111</v>
      </c>
      <c r="K90" s="6" t="n">
        <v>1</v>
      </c>
      <c r="L90" s="6" t="n">
        <v>0.75</v>
      </c>
      <c r="M90" s="5" t="n">
        <v>-1</v>
      </c>
      <c r="N90" s="7">
        <f>Model!$B$5+SUMPRODUCT(E90:L90,Model!$C$5:$J$5)</f>
        <v>-1.4826416233786786</v>
      </c>
      <c r="O90" s="8" t="n">
        <v>-1.999016285829625</v>
      </c>
      <c r="P90" s="7">
        <f>M90-O90</f>
        <v>0.999016285829625</v>
      </c>
      <c r="Q90" s="8" t="n">
        <v>0.4623655913978494</v>
      </c>
      <c r="R90" s="8" t="n">
        <v>-2.139527087609161</v>
      </c>
    </row>
    <row r="91">
      <c r="A91" s="4" t="n">
        <v>90</v>
      </c>
      <c r="B91" s="4" t="inlineStr">
        <is>
          <t>Canada</t>
        </is>
      </c>
      <c r="C91" s="4" t="inlineStr">
        <is>
          <t>Morocco</t>
        </is>
      </c>
      <c r="D91" s="4" t="n">
        <v>8</v>
      </c>
      <c r="E91" s="5" t="n">
        <v>26</v>
      </c>
      <c r="F91" s="6" t="n">
        <v>-125</v>
      </c>
      <c r="G91" s="6" t="n">
        <v>-0.8125788829863119</v>
      </c>
      <c r="H91" s="5" t="n">
        <v>0</v>
      </c>
      <c r="I91" s="6" t="n">
        <v>0.3737166324435321</v>
      </c>
      <c r="J91" s="5" t="n">
        <v>250</v>
      </c>
      <c r="K91" s="6" t="n">
        <v>1</v>
      </c>
      <c r="L91" s="6" t="n">
        <v>-0.25</v>
      </c>
      <c r="M91" s="5" t="n">
        <v>-3</v>
      </c>
      <c r="N91" s="7">
        <f>Model!$B$5+SUMPRODUCT(E91:L91,Model!$C$5:$J$5)</f>
        <v>-0.6256883350456599</v>
      </c>
      <c r="O91" s="8" t="n">
        <v>-0.4590061278337093</v>
      </c>
      <c r="P91" s="7">
        <f>M91-O91</f>
        <v>-2.5409938721662906</v>
      </c>
      <c r="Q91" s="8" t="n">
        <v>0.6063829787234043</v>
      </c>
      <c r="R91" s="8" t="n">
        <v>-0.4285714495000314</v>
      </c>
    </row>
    <row r="92">
      <c r="A92" s="4" t="n">
        <v>91</v>
      </c>
      <c r="B92" s="4" t="inlineStr">
        <is>
          <t>Brazil</t>
        </is>
      </c>
      <c r="C92" s="4" t="inlineStr">
        <is>
          <t>Norway</t>
        </is>
      </c>
      <c r="D92" s="4" t="n">
        <v>7</v>
      </c>
      <c r="E92" s="5" t="n">
        <v>-38</v>
      </c>
      <c r="F92" s="6" t="n">
        <v>255</v>
      </c>
      <c r="G92" s="6" t="n">
        <v>0.4693253182141319</v>
      </c>
      <c r="H92" s="5" t="n">
        <v>0</v>
      </c>
      <c r="I92" s="6" t="n">
        <v>2.558837466435001</v>
      </c>
      <c r="J92" s="5" t="n">
        <v>115</v>
      </c>
      <c r="K92" s="6" t="n">
        <v>1</v>
      </c>
      <c r="L92" s="6" t="n">
        <v>-1.5</v>
      </c>
      <c r="M92" s="5" t="n">
        <v>-1</v>
      </c>
      <c r="N92" s="7">
        <f>Model!$B$5+SUMPRODUCT(E92:L92,Model!$C$5:$J$5)</f>
        <v>1.7807866592795376</v>
      </c>
      <c r="O92" s="8" t="n">
        <v>2.127446617018</v>
      </c>
      <c r="P92" s="7">
        <f>M92-O92</f>
        <v>-3.1274466170179998</v>
      </c>
      <c r="Q92" s="8" t="n">
        <v>0.4574468085106383</v>
      </c>
      <c r="R92" s="8" t="n">
        <v>1.604013131101407</v>
      </c>
    </row>
    <row r="93">
      <c r="A93" s="4" t="n">
        <v>92</v>
      </c>
      <c r="B93" s="4" t="inlineStr">
        <is>
          <t>Mexico</t>
        </is>
      </c>
      <c r="C93" s="4" t="inlineStr">
        <is>
          <t>England</t>
        </is>
      </c>
      <c r="D93" s="4" t="n">
        <v>1</v>
      </c>
      <c r="E93" s="5" t="n">
        <v>10</v>
      </c>
      <c r="F93" s="6" t="n">
        <v>-240</v>
      </c>
      <c r="G93" s="6" t="n">
        <v>-1.958526162037135</v>
      </c>
      <c r="H93" s="5" t="n">
        <v>1</v>
      </c>
      <c r="I93" s="6" t="n">
        <v>0.6274943400200179</v>
      </c>
      <c r="J93" s="5" t="n">
        <v>384</v>
      </c>
      <c r="K93" s="6" t="n">
        <v>0</v>
      </c>
      <c r="L93" s="6" t="n">
        <v>-0.75</v>
      </c>
      <c r="M93" s="5" t="n">
        <v>-1</v>
      </c>
      <c r="N93" s="7">
        <f>Model!$B$5+SUMPRODUCT(E93:L93,Model!$C$5:$J$5)</f>
        <v>-0.678311455142806</v>
      </c>
      <c r="O93" s="8" t="n">
        <v>-0.1990089475429223</v>
      </c>
      <c r="P93" s="7">
        <f>M93-O93</f>
        <v>-0.8009910524570778</v>
      </c>
      <c r="Q93" s="8" t="n">
        <v>0.4838709677419355</v>
      </c>
      <c r="R93" s="8" t="n">
        <v>-1.187040500375883</v>
      </c>
    </row>
    <row r="94">
      <c r="A94" s="4" t="n">
        <v>93</v>
      </c>
      <c r="B94" s="4" t="inlineStr">
        <is>
          <t>Portugal</t>
        </is>
      </c>
      <c r="C94" s="4" t="inlineStr">
        <is>
          <t>Spain</t>
        </is>
      </c>
      <c r="D94" s="4" t="n">
        <v>10</v>
      </c>
      <c r="E94" s="5" t="n">
        <v>3</v>
      </c>
      <c r="F94" s="6" t="n">
        <v>-110</v>
      </c>
      <c r="G94" s="6" t="n">
        <v>-0.1889005278919988</v>
      </c>
      <c r="H94" s="5" t="n">
        <v>0</v>
      </c>
      <c r="I94" s="6" t="n">
        <v>1.287842889485596</v>
      </c>
      <c r="J94" s="5" t="n">
        <v>418</v>
      </c>
      <c r="K94" s="6" t="n">
        <v>0</v>
      </c>
      <c r="L94" s="6" t="n">
        <v>0.5</v>
      </c>
      <c r="M94" s="5" t="n">
        <v>-1</v>
      </c>
      <c r="N94" s="7">
        <f>Model!$B$5+SUMPRODUCT(E94:L94,Model!$C$5:$J$5)</f>
        <v>-0.4328934613844726</v>
      </c>
      <c r="O94" s="8" t="n">
        <v>-0.1986029276105479</v>
      </c>
      <c r="P94" s="7">
        <f>M94-O94</f>
        <v>-0.8013970723894521</v>
      </c>
      <c r="Q94" s="8" t="n">
        <v>0.5212765957446809</v>
      </c>
      <c r="R94" s="8" t="n">
        <v>-0.4382632139562681</v>
      </c>
    </row>
    <row r="95">
      <c r="A95" s="4" t="n">
        <v>94</v>
      </c>
      <c r="B95" s="4" t="inlineStr">
        <is>
          <t>USA</t>
        </is>
      </c>
      <c r="C95" s="4" t="inlineStr">
        <is>
          <t>Belgium</t>
        </is>
      </c>
      <c r="D95" s="4" t="n">
        <v>1</v>
      </c>
      <c r="E95" s="5" t="n">
        <v>8</v>
      </c>
      <c r="F95" s="6" t="n">
        <v>-100</v>
      </c>
      <c r="G95" s="6" t="n">
        <v>-0.3505618989542647</v>
      </c>
      <c r="H95" s="5" t="n">
        <v>1</v>
      </c>
      <c r="I95" s="6" t="n">
        <v>-0.7095245616806203</v>
      </c>
      <c r="J95" s="5" t="n">
        <v>-124</v>
      </c>
      <c r="K95" s="6" t="n">
        <v>0</v>
      </c>
      <c r="L95" s="6" t="n">
        <v>0</v>
      </c>
      <c r="M95" s="5" t="n">
        <v>-3</v>
      </c>
      <c r="N95" s="7">
        <f>Model!$B$5+SUMPRODUCT(E95:L95,Model!$C$5:$J$5)</f>
        <v>0.577692416109269</v>
      </c>
      <c r="O95" s="8" t="n">
        <v>1.089865837205443</v>
      </c>
      <c r="P95" s="7">
        <f>M95-O95</f>
        <v>-4.089865837205443</v>
      </c>
      <c r="Q95" s="8" t="n">
        <v>0.4838709677419355</v>
      </c>
      <c r="R95" s="8" t="n">
        <v>-0.4044769278976817</v>
      </c>
    </row>
    <row r="96">
      <c r="A96" s="4" t="n">
        <v>95</v>
      </c>
      <c r="B96" s="4" t="inlineStr">
        <is>
          <t>Argentina</t>
        </is>
      </c>
      <c r="C96" s="4" t="inlineStr">
        <is>
          <t>Egypt</t>
        </is>
      </c>
      <c r="D96" s="4" t="n">
        <v>9</v>
      </c>
      <c r="E96" s="5" t="n">
        <v>-35</v>
      </c>
      <c r="F96" s="6" t="n">
        <v>420</v>
      </c>
      <c r="G96" s="6" t="n">
        <v>1.936223470648436</v>
      </c>
      <c r="H96" s="5" t="n">
        <v>0</v>
      </c>
      <c r="I96" s="6" t="n">
        <v>0.0592849997367537</v>
      </c>
      <c r="J96" s="5" t="n">
        <v>420</v>
      </c>
      <c r="K96" s="6" t="n">
        <v>0</v>
      </c>
      <c r="L96" s="6" t="n">
        <v>-0.25</v>
      </c>
      <c r="M96" s="5" t="n">
        <v>1</v>
      </c>
      <c r="N96" s="7">
        <f>Model!$B$5+SUMPRODUCT(E96:L96,Model!$C$5:$J$5)</f>
        <v>1.9520409202090971</v>
      </c>
      <c r="O96" s="8" t="n">
        <v>2.064459777087523</v>
      </c>
      <c r="P96" s="7">
        <f>M96-O96</f>
        <v>-1.064459777087523</v>
      </c>
      <c r="Q96" s="8" t="n">
        <v>0.574468085106383</v>
      </c>
      <c r="R96" s="8" t="n">
        <v>2.545695482713564</v>
      </c>
    </row>
    <row r="97">
      <c r="A97" s="4" t="n">
        <v>96</v>
      </c>
      <c r="B97" s="4" t="inlineStr">
        <is>
          <t>Switzerland</t>
        </is>
      </c>
      <c r="C97" s="4" t="inlineStr">
        <is>
          <t>Colombia</t>
        </is>
      </c>
      <c r="D97" s="4" t="n">
        <v>2</v>
      </c>
      <c r="E97" s="5" t="n">
        <v>6</v>
      </c>
      <c r="F97" s="6" t="n">
        <v>-130</v>
      </c>
      <c r="G97" s="6" t="n">
        <v>0.0950545733766858</v>
      </c>
      <c r="H97" s="5" t="n">
        <v>0</v>
      </c>
      <c r="I97" s="6" t="n">
        <v>-1.782235560469651</v>
      </c>
      <c r="J97" s="5" t="n">
        <v>89</v>
      </c>
      <c r="K97" s="6" t="n">
        <v>1</v>
      </c>
      <c r="L97" s="6" t="n">
        <v>0.5</v>
      </c>
      <c r="M97" s="5" t="n">
        <v>0</v>
      </c>
      <c r="N97" s="7">
        <f>Model!$B$5+SUMPRODUCT(E97:L97,Model!$C$5:$J$5)</f>
        <v>-0.7488955457204205</v>
      </c>
      <c r="O97" s="8" t="n">
        <v>-0.7201198470583837</v>
      </c>
      <c r="P97" s="7">
        <f>M97-O97</f>
        <v>0.7201198470583837</v>
      </c>
      <c r="Q97" s="8" t="n">
        <v>0.4623655913978494</v>
      </c>
      <c r="R97" s="8" t="n">
        <v>-0.6733684455620548</v>
      </c>
    </row>
    <row r="98">
      <c r="A98" s="4" t="n">
        <v>97</v>
      </c>
      <c r="B98" s="4" t="inlineStr">
        <is>
          <t>France</t>
        </is>
      </c>
      <c r="C98" s="4" t="inlineStr">
        <is>
          <t>Morocco</t>
        </is>
      </c>
      <c r="D98" s="4" t="n">
        <v>7</v>
      </c>
      <c r="E98" s="5" t="n">
        <v>-4</v>
      </c>
      <c r="F98" s="6" t="n">
        <v>180</v>
      </c>
      <c r="G98" s="6" t="n">
        <v>1.222342248593403</v>
      </c>
      <c r="H98" s="5" t="n">
        <v>0</v>
      </c>
      <c r="I98" s="6" t="n">
        <v>0.4020428578950188</v>
      </c>
      <c r="J98" s="5" t="n">
        <v>93</v>
      </c>
      <c r="K98" s="6" t="n">
        <v>0</v>
      </c>
      <c r="L98" s="6" t="n">
        <v>-0.4</v>
      </c>
      <c r="M98" s="5" t="n">
        <v>2</v>
      </c>
      <c r="N98" s="7">
        <f>Model!$B$5+SUMPRODUCT(E98:L98,Model!$C$5:$J$5)</f>
        <v>1.3323552107940668</v>
      </c>
      <c r="O98" s="8" t="n">
        <v>1.300075772780538</v>
      </c>
      <c r="P98" s="7">
        <f>M98-O98</f>
        <v>0.6999242272194621</v>
      </c>
      <c r="Q98" s="8" t="n">
        <v>0.4574468085106383</v>
      </c>
      <c r="R98" s="8" t="n">
        <v>1.178800475958591</v>
      </c>
    </row>
    <row r="99">
      <c r="A99" s="4" t="n">
        <v>98</v>
      </c>
      <c r="B99" s="4" t="inlineStr">
        <is>
          <t>Spain</t>
        </is>
      </c>
      <c r="C99" s="4" t="inlineStr">
        <is>
          <t>Belgium</t>
        </is>
      </c>
      <c r="D99" s="4" t="n">
        <v>8</v>
      </c>
      <c r="E99" s="5" t="n">
        <v>-7</v>
      </c>
      <c r="F99" s="6" t="n">
        <v>170</v>
      </c>
      <c r="G99" s="6" t="n">
        <v>0.8012436760366484</v>
      </c>
      <c r="H99" s="5" t="n">
        <v>0</v>
      </c>
      <c r="I99" s="6" t="n">
        <v>-0.8670562838940654</v>
      </c>
      <c r="J99" s="5" t="n">
        <v>-343</v>
      </c>
      <c r="K99" s="6" t="n">
        <v>1</v>
      </c>
      <c r="L99" s="6" t="n">
        <v>-1</v>
      </c>
      <c r="M99" s="5" t="n">
        <v>1</v>
      </c>
      <c r="N99" s="7">
        <f>Model!$B$5+SUMPRODUCT(E99:L99,Model!$C$5:$J$5)</f>
        <v>1.274148955033291</v>
      </c>
      <c r="O99" s="8" t="n">
        <v>1.388844908148633</v>
      </c>
      <c r="P99" s="7">
        <f>M99-O99</f>
        <v>-0.3888449081486334</v>
      </c>
      <c r="Q99" s="8" t="n">
        <v>0.6063829787234043</v>
      </c>
      <c r="R99" s="8" t="n">
        <v>1.164505780288249</v>
      </c>
    </row>
    <row r="100">
      <c r="A100" s="4" t="n">
        <v>99</v>
      </c>
      <c r="B100" s="4" t="inlineStr">
        <is>
          <t>Norway</t>
        </is>
      </c>
      <c r="C100" s="4" t="inlineStr">
        <is>
          <t>England</t>
        </is>
      </c>
      <c r="D100" s="4" t="n">
        <v>2</v>
      </c>
      <c r="E100" s="5" t="n">
        <v>40</v>
      </c>
      <c r="F100" s="6" t="n">
        <v>-275</v>
      </c>
      <c r="G100" s="6" t="n">
        <v>-0.835286947721066</v>
      </c>
      <c r="H100" s="5" t="n">
        <v>0</v>
      </c>
      <c r="I100" s="6" t="n">
        <v>-0.4690149002263979</v>
      </c>
      <c r="J100" s="5" t="n">
        <v>-36</v>
      </c>
      <c r="K100" s="6" t="n">
        <v>1</v>
      </c>
      <c r="L100" s="6" t="n">
        <v>0.8</v>
      </c>
      <c r="M100" s="5" t="n">
        <v>-1</v>
      </c>
      <c r="N100" s="7">
        <f>Model!$B$5+SUMPRODUCT(E100:L100,Model!$C$5:$J$5)</f>
        <v>-1.1508981627928365</v>
      </c>
      <c r="O100" s="8" t="n">
        <v>-1.451646656024559</v>
      </c>
      <c r="P100" s="7">
        <f>M100-O100</f>
        <v>0.45164665602455933</v>
      </c>
      <c r="Q100" s="8" t="n">
        <v>0.4623655913978494</v>
      </c>
      <c r="R100" s="8" t="n">
        <v>-1.541094988814424</v>
      </c>
    </row>
    <row r="101">
      <c r="A101" s="4" t="n">
        <v>100</v>
      </c>
      <c r="B101" s="4" t="inlineStr">
        <is>
          <t>Argentina</t>
        </is>
      </c>
      <c r="C101" s="4" t="inlineStr">
        <is>
          <t>Switzerland</t>
        </is>
      </c>
      <c r="D101" s="4" t="n">
        <v>7</v>
      </c>
      <c r="E101" s="5" t="n">
        <v>-18</v>
      </c>
      <c r="F101" s="6" t="n">
        <v>290</v>
      </c>
      <c r="G101" s="6" t="n">
        <v>0.8873031950009036</v>
      </c>
      <c r="H101" s="5" t="n">
        <v>0</v>
      </c>
      <c r="I101" s="6" t="n">
        <v>0.8111409466645618</v>
      </c>
      <c r="J101" s="5" t="n">
        <v>119</v>
      </c>
      <c r="K101" s="6" t="n">
        <v>0</v>
      </c>
      <c r="L101" s="6" t="n">
        <v>0.4</v>
      </c>
      <c r="M101" s="5" t="n">
        <v>2</v>
      </c>
      <c r="N101" s="7">
        <f>Model!$B$5+SUMPRODUCT(E101:L101,Model!$C$5:$J$5)</f>
        <v>1.4342336037508954</v>
      </c>
      <c r="O101" s="8" t="n">
        <v>1.613186884388195</v>
      </c>
      <c r="P101" s="7">
        <f>M101-O101</f>
        <v>0.38681311561180465</v>
      </c>
      <c r="Q101" s="8" t="n">
        <v>0.4574468085106383</v>
      </c>
      <c r="R101" s="8" t="n">
        <v>1.802445703501387</v>
      </c>
    </row>
    <row r="102">
      <c r="A102" s="4" t="n">
        <v>101</v>
      </c>
      <c r="B102" s="4" t="inlineStr">
        <is>
          <t>France</t>
        </is>
      </c>
      <c r="C102" s="4" t="inlineStr">
        <is>
          <t>Spain</t>
        </is>
      </c>
      <c r="D102" s="4" t="n">
        <v>7</v>
      </c>
      <c r="E102" s="5" t="n">
        <v>1</v>
      </c>
      <c r="F102" s="6" t="n">
        <v>-20</v>
      </c>
      <c r="G102" s="6" t="n">
        <v>0.2198594761130188</v>
      </c>
      <c r="H102" s="5" t="n">
        <v>0</v>
      </c>
      <c r="I102" s="6" t="n">
        <v>0.2535671036697735</v>
      </c>
      <c r="J102" s="5" t="n">
        <v>58</v>
      </c>
      <c r="K102" s="6" t="n">
        <v>1</v>
      </c>
      <c r="L102" s="6" t="n">
        <v>0.1666666666666667</v>
      </c>
      <c r="M102" s="5" t="n">
        <v>-2</v>
      </c>
      <c r="N102" s="7">
        <f>Model!$B$5+SUMPRODUCT(E102:L102,Model!$C$5:$J$5)</f>
        <v>0.21462335200645055</v>
      </c>
      <c r="O102" s="8" t="n">
        <v>0.1661711876635129</v>
      </c>
      <c r="P102" s="7">
        <f>M102-O102</f>
        <v>-2.166171187663513</v>
      </c>
      <c r="Q102" s="8" t="n">
        <v>0.4574468085106383</v>
      </c>
      <c r="R102" s="8" t="n">
        <v>0.04490006224441756</v>
      </c>
    </row>
    <row r="103">
      <c r="A103" s="4" t="n">
        <v>102</v>
      </c>
      <c r="B103" s="4" t="inlineStr">
        <is>
          <t>England</t>
        </is>
      </c>
      <c r="C103" s="4" t="inlineStr">
        <is>
          <t>Argentina</t>
        </is>
      </c>
      <c r="D103" s="4" t="n">
        <v>9</v>
      </c>
      <c r="E103" s="5" t="n">
        <v>3</v>
      </c>
      <c r="F103" s="6" t="n">
        <v>-100</v>
      </c>
      <c r="G103" s="6" t="n">
        <v>0.5212969236332832</v>
      </c>
      <c r="H103" s="5" t="n">
        <v>0</v>
      </c>
      <c r="I103" s="6" t="n">
        <v>-1.844995524666984</v>
      </c>
      <c r="J103" s="5" t="n">
        <v>-414</v>
      </c>
      <c r="K103" s="6" t="n">
        <v>1</v>
      </c>
      <c r="L103" s="6" t="n">
        <v>0</v>
      </c>
      <c r="M103" s="5" t="n">
        <v>-1</v>
      </c>
      <c r="N103" s="7">
        <f>Model!$B$5+SUMPRODUCT(E103:L103,Model!$C$5:$J$5)</f>
        <v>0.017357117536097616</v>
      </c>
      <c r="O103" s="8" t="n">
        <v>0.0004850485301867435</v>
      </c>
      <c r="P103" s="7">
        <f>M103-O103</f>
        <v>-1.0004850485301868</v>
      </c>
      <c r="Q103" s="8" t="n">
        <v>0.574468085106383</v>
      </c>
      <c r="R103" s="8" t="n">
        <v>-0.3374162825479261</v>
      </c>
    </row>
    <row r="104">
      <c r="A104" s="4" t="n">
        <v>103</v>
      </c>
      <c r="B104" s="4" t="inlineStr">
        <is>
          <t>France</t>
        </is>
      </c>
      <c r="C104" s="4" t="inlineStr">
        <is>
          <t>England</t>
        </is>
      </c>
      <c r="D104" s="4" t="n">
        <v>10</v>
      </c>
      <c r="E104" s="5" t="n">
        <v>-1</v>
      </c>
      <c r="F104" s="6" t="n">
        <v>50</v>
      </c>
      <c r="G104" s="6" t="n">
        <v>0.1112256351102267</v>
      </c>
      <c r="H104" s="5" t="n">
        <v>0</v>
      </c>
      <c r="I104" s="6" t="n">
        <v>-0.2722055494129343</v>
      </c>
      <c r="J104" s="5" t="n">
        <v>-37</v>
      </c>
      <c r="K104" s="6" t="n">
        <v>1</v>
      </c>
      <c r="L104" s="6" t="n">
        <v>-0.5714285714285714</v>
      </c>
      <c r="M104" s="5" t="n">
        <v>-2</v>
      </c>
      <c r="N104" s="7">
        <f>Model!$B$5+SUMPRODUCT(E104:L104,Model!$C$5:$J$5)</f>
        <v>0.4082856565399404</v>
      </c>
      <c r="O104" s="8" t="n">
        <v>0.4399956325821782</v>
      </c>
      <c r="P104" s="7">
        <f>M104-O104</f>
        <v>-2.4399956325821783</v>
      </c>
      <c r="Q104" s="8" t="n">
        <v>0.5212765957446809</v>
      </c>
      <c r="R104" s="8" t="n">
        <v>0.5065144448262047</v>
      </c>
    </row>
    <row r="105">
      <c r="A105" s="4" t="n">
        <v>104</v>
      </c>
      <c r="B105" s="4" t="inlineStr">
        <is>
          <t>Spain</t>
        </is>
      </c>
      <c r="C105" s="4" t="inlineStr">
        <is>
          <t>Argentina</t>
        </is>
      </c>
      <c r="D105" s="4" t="n">
        <v>3</v>
      </c>
      <c r="E105" s="5" t="n">
        <v>1</v>
      </c>
      <c r="F105" s="6" t="n">
        <v>-30</v>
      </c>
      <c r="G105" s="6" t="n">
        <v>0.4126630826304911</v>
      </c>
      <c r="H105" s="5" t="n">
        <v>0</v>
      </c>
      <c r="I105" s="6" t="n">
        <v>-2.370768177749692</v>
      </c>
      <c r="J105" s="5" t="n">
        <v>-509</v>
      </c>
      <c r="K105" s="6" t="n">
        <v>1</v>
      </c>
      <c r="L105" s="6" t="n">
        <v>-0.8571428571428572</v>
      </c>
      <c r="M105" s="5" t="n">
        <v>1</v>
      </c>
      <c r="N105" s="7">
        <f>Model!$B$5+SUMPRODUCT(E105:L105,Model!$C$5:$J$5)</f>
        <v>0.22541924114190393</v>
      </c>
      <c r="O105" s="8" t="n">
        <v>0.1992350212864752</v>
      </c>
      <c r="P105" s="7">
        <f>M105-O105</f>
        <v>0.8007649787135248</v>
      </c>
      <c r="Q105" s="8" t="n">
        <v>0.3870967741935484</v>
      </c>
      <c r="R105" s="8" t="n">
        <v>-0.03748360387635882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OLS linear regression on all 104 matches (fitted in Python, task2.1_part2.py)</t>
        </is>
      </c>
    </row>
    <row r="2">
      <c r="A2" s="2" t="inlineStr">
        <is>
          <t>Blue values are copied from the Python output. Black values are Excel formulas.</t>
        </is>
      </c>
    </row>
    <row r="4">
      <c r="A4" s="10" t="inlineStr"/>
      <c r="B4" s="3" t="inlineStr">
        <is>
          <t>Intercept</t>
        </is>
      </c>
      <c r="C4" s="3" t="inlineStr">
        <is>
          <t>fifa_rank_diff</t>
        </is>
      </c>
      <c r="D4" s="3" t="inlineStr">
        <is>
          <t>elo_diff</t>
        </is>
      </c>
      <c r="E4" s="3" t="inlineStr">
        <is>
          <t>log_value_diff</t>
        </is>
      </c>
      <c r="F4" s="3" t="inlineStr">
        <is>
          <t>host_diff</t>
        </is>
      </c>
      <c r="G4" s="3" t="inlineStr">
        <is>
          <t>age_diff</t>
        </is>
      </c>
      <c r="H4" s="3" t="inlineStr">
        <is>
          <t>caps_diff</t>
        </is>
      </c>
      <c r="I4" s="3" t="inlineStr">
        <is>
          <t>rest_days_diff</t>
        </is>
      </c>
      <c r="J4" s="3" t="inlineStr">
        <is>
          <t>goals_conceded_diff</t>
        </is>
      </c>
    </row>
    <row r="5">
      <c r="A5" s="4" t="inlineStr">
        <is>
          <t>Coefficient</t>
        </is>
      </c>
      <c r="B5" s="11" t="n">
        <v>0.08604055984669753</v>
      </c>
      <c r="C5" s="11" t="n">
        <v>0.003936771033597179</v>
      </c>
      <c r="D5" s="11" t="n">
        <v>0.003137638435315893</v>
      </c>
      <c r="E5" s="11" t="n">
        <v>0.5124493673236953</v>
      </c>
      <c r="F5" s="11" t="n">
        <v>1.026860561809077</v>
      </c>
      <c r="G5" s="11" t="n">
        <v>0.2494642734883737</v>
      </c>
      <c r="H5" s="11" t="n">
        <v>-0.0008363485672985878</v>
      </c>
      <c r="I5" s="11" t="n">
        <v>0.08014397070526805</v>
      </c>
      <c r="J5" s="11" t="n">
        <v>-0.1209584802074583</v>
      </c>
    </row>
    <row r="6">
      <c r="A6" s="4" t="inlineStr">
        <is>
          <t>Standard error</t>
        </is>
      </c>
      <c r="B6" s="11" t="n">
        <v>0.1578850665107422</v>
      </c>
      <c r="C6" s="11" t="n">
        <v>0.01455679331348491</v>
      </c>
      <c r="D6" s="11" t="n">
        <v>0.002193552745103943</v>
      </c>
      <c r="E6" s="11" t="n">
        <v>0.1993783035751009</v>
      </c>
      <c r="F6" s="11" t="n">
        <v>0.4535571800899797</v>
      </c>
      <c r="G6" s="11" t="n">
        <v>0.142350042286489</v>
      </c>
      <c r="H6" s="11" t="n">
        <v>0.0007630881890305952</v>
      </c>
      <c r="I6" s="11" t="n">
        <v>0.2576246163991793</v>
      </c>
      <c r="J6" s="11" t="n">
        <v>0.123138523012927</v>
      </c>
    </row>
    <row r="7">
      <c r="A7" s="4" t="inlineStr">
        <is>
          <t>p-value</t>
        </is>
      </c>
      <c r="B7" s="11" t="n">
        <v>0.5870602285459146</v>
      </c>
      <c r="C7" s="11" t="n">
        <v>0.7874067571434908</v>
      </c>
      <c r="D7" s="11" t="n">
        <v>0.1558857161460194</v>
      </c>
      <c r="E7" s="11" t="n">
        <v>0.01171689340313184</v>
      </c>
      <c r="F7" s="11" t="n">
        <v>0.02584773364412278</v>
      </c>
      <c r="G7" s="11" t="n">
        <v>0.08291930685281694</v>
      </c>
      <c r="H7" s="11" t="n">
        <v>0.2758471976085996</v>
      </c>
      <c r="I7" s="11" t="n">
        <v>0.7564151783106576</v>
      </c>
      <c r="J7" s="11" t="n">
        <v>0.3284490998068519</v>
      </c>
    </row>
    <row r="8">
      <c r="A8" s="4" t="inlineStr">
        <is>
          <t>95% CI low</t>
        </is>
      </c>
      <c r="B8" s="11" t="n">
        <v>-0.2274009268828685</v>
      </c>
      <c r="C8" s="11" t="n">
        <v>-0.02496211749987459</v>
      </c>
      <c r="D8" s="11" t="n">
        <v>-0.001217114353152046</v>
      </c>
      <c r="E8" s="11" t="n">
        <v>0.1166333900732665</v>
      </c>
      <c r="F8" s="11" t="n">
        <v>0.1264357148866473</v>
      </c>
      <c r="G8" s="11" t="n">
        <v>-0.03313629081045394</v>
      </c>
      <c r="H8" s="11" t="n">
        <v>-0.002351270160337586</v>
      </c>
      <c r="I8" s="11" t="n">
        <v>-0.4313055575298724</v>
      </c>
      <c r="J8" s="11" t="n">
        <v>-0.365419356589511</v>
      </c>
    </row>
    <row r="9">
      <c r="A9" s="4" t="inlineStr">
        <is>
          <t>95% CI high</t>
        </is>
      </c>
      <c r="B9" s="11" t="n">
        <v>0.3994820465762636</v>
      </c>
      <c r="C9" s="11" t="n">
        <v>0.03283565956706894</v>
      </c>
      <c r="D9" s="11" t="n">
        <v>0.007492391223783831</v>
      </c>
      <c r="E9" s="11" t="n">
        <v>0.9082653445741241</v>
      </c>
      <c r="F9" s="11" t="n">
        <v>1.927285408731507</v>
      </c>
      <c r="G9" s="11" t="n">
        <v>0.5320648377872015</v>
      </c>
      <c r="H9" s="11" t="n">
        <v>0.000678573025740411</v>
      </c>
      <c r="I9" s="11" t="n">
        <v>0.5915934989404085</v>
      </c>
      <c r="J9" s="11" t="n">
        <v>0.1235023961745945</v>
      </c>
    </row>
    <row r="10">
      <c r="A10" s="4" t="inlineStr">
        <is>
          <t>Standard deviation of the variable</t>
        </is>
      </c>
      <c r="C10" s="6">
        <f>STDEV(Predictions!E$2:E$105)</f>
        <v>33.65415192435508</v>
      </c>
      <c r="D10" s="6">
        <f>STDEV(Predictions!F$2:F$105)</f>
        <v>236.67244091102197</v>
      </c>
      <c r="E10" s="6">
        <f>STDEV(Predictions!G$2:G$105)</f>
        <v>1.6771140299775265</v>
      </c>
      <c r="F10" s="6">
        <f>STDEV(Predictions!H$2:H$105)</f>
        <v>0.34876823686661895</v>
      </c>
      <c r="G10" s="6">
        <f>STDEV(Predictions!I$2:I$105)</f>
        <v>1.474059030167792</v>
      </c>
      <c r="H10" s="6">
        <f>STDEV(Predictions!J$2:J$105)</f>
        <v>307.59653199223817</v>
      </c>
      <c r="I10" s="6">
        <f>STDEV(Predictions!K$2:K$105)</f>
        <v>0.5755148359190729</v>
      </c>
      <c r="J10" s="6">
        <f>STDEV(Predictions!L$2:L$105)</f>
        <v>1.2708775329907416</v>
      </c>
    </row>
    <row r="11">
      <c r="A11" s="4" t="inlineStr">
        <is>
          <t>Standardised coefficient (= coefficient × SD)</t>
        </is>
      </c>
      <c r="C11" s="6">
        <f>C5*C10</f>
        <v>0.13248869045607983</v>
      </c>
      <c r="D11" s="6">
        <f>D5*D10</f>
        <v>0.742592547182452</v>
      </c>
      <c r="E11" s="6">
        <f>E5*E10</f>
        <v>0.8594360235916764</v>
      </c>
      <c r="F11" s="6">
        <f>F5*F10</f>
        <v>0.35813634765001773</v>
      </c>
      <c r="G11" s="6">
        <f>G5*G10</f>
        <v>0.367725065039785</v>
      </c>
      <c r="H11" s="6">
        <f>H5*H10</f>
        <v>-0.2572579188377226</v>
      </c>
      <c r="I11" s="6">
        <f>I5*I10</f>
        <v>0.04612404415034533</v>
      </c>
      <c r="J11" s="6">
        <f>J5*J10</f>
        <v>-0.15372341492036398</v>
      </c>
    </row>
    <row r="12">
      <c r="A12" s="4" t="inlineStr">
        <is>
          <t>Standardised 95% CI low</t>
        </is>
      </c>
      <c r="C12" s="6">
        <f>C8*C10</f>
        <v>-0.8400788946943818</v>
      </c>
      <c r="D12" s="6">
        <f>D8*D10</f>
        <v>-0.2880574248283343</v>
      </c>
      <c r="E12" s="6">
        <f>E8*E10</f>
        <v>0.19560749485571674</v>
      </c>
      <c r="F12" s="6">
        <f>F8*F10</f>
        <v>0.0440967613579865</v>
      </c>
      <c r="G12" s="6">
        <f>G8*G10</f>
        <v>-0.04884484869541565</v>
      </c>
      <c r="H12" s="6">
        <f>H8*H10</f>
        <v>-0.7232425470966753</v>
      </c>
      <c r="I12" s="6">
        <f>I8*I10</f>
        <v>-0.2482227471727888</v>
      </c>
      <c r="J12" s="6">
        <f>J8*J10</f>
        <v>-0.4644032504095418</v>
      </c>
    </row>
    <row r="13">
      <c r="A13" s="4" t="inlineStr">
        <is>
          <t>Standardised 95% CI high</t>
        </is>
      </c>
      <c r="C13" s="6">
        <f>C9*C10</f>
        <v>1.1050562756065414</v>
      </c>
      <c r="D13" s="6">
        <f>D9*D10</f>
        <v>1.7732425191932384</v>
      </c>
      <c r="E13" s="6">
        <f>E9*E10</f>
        <v>1.523264552327636</v>
      </c>
      <c r="F13" s="6">
        <f>F9*F10</f>
        <v>0.6721759339420489</v>
      </c>
      <c r="G13" s="6">
        <f>G9*G10</f>
        <v>0.7842949787749858</v>
      </c>
      <c r="H13" s="6">
        <f>H9*H10</f>
        <v>0.2087267094212302</v>
      </c>
      <c r="I13" s="6">
        <f>I9*I10</f>
        <v>0.34047083547347945</v>
      </c>
      <c r="J13" s="6">
        <f>J9*J10</f>
        <v>0.15695642056881381</v>
      </c>
    </row>
    <row r="15">
      <c r="A15" s="12" t="inlineStr">
        <is>
          <t>Fit statistics</t>
        </is>
      </c>
    </row>
    <row r="16">
      <c r="A16" s="4" t="inlineStr">
        <is>
          <t>Matches (n)</t>
        </is>
      </c>
      <c r="B16" s="5">
        <f>COUNT(Predictions!$M$2:$M$105)</f>
        <v>104.0</v>
      </c>
    </row>
    <row r="17">
      <c r="A17" s="4" t="inlineStr">
        <is>
          <t>R² (from statsmodels)</t>
        </is>
      </c>
      <c r="B17" s="13" t="n">
        <v>0.5106345680623305</v>
      </c>
    </row>
    <row r="18">
      <c r="A18" s="4" t="inlineStr">
        <is>
          <t>R² recomputed from the fitted values</t>
        </is>
      </c>
      <c r="B18" s="6">
        <f>1-SUMPRODUCT((Predictions!$M$2:$M$105-Predictions!$N$2:$N$105)^2)/DEVSQ(Predictions!$M$2:$M$105)</f>
        <v>0.5106345680623305</v>
      </c>
    </row>
    <row r="19">
      <c r="A19" s="4" t="inlineStr">
        <is>
          <t>Adjusted R²</t>
        </is>
      </c>
      <c r="B19" s="13" t="n">
        <v>0.4694248474781058</v>
      </c>
    </row>
    <row r="20">
      <c r="A20" s="4" t="inlineStr">
        <is>
          <t>F-test p-value</t>
        </is>
      </c>
      <c r="B20" s="14" t="n">
        <v>5.168532174008929e-12</v>
      </c>
    </row>
    <row r="21">
      <c r="A21" s="4" t="inlineStr">
        <is>
          <t>Breusch–Pagan p-value (constant variance)</t>
        </is>
      </c>
      <c r="B21" s="13" t="n">
        <v>0.7690883426320614</v>
      </c>
    </row>
    <row r="22">
      <c r="A22" s="4" t="inlineStr">
        <is>
          <t>Jarque–Bera p-value (normal residuals)</t>
        </is>
      </c>
      <c r="B22" s="13" t="n">
        <v>0.7103852519716296</v>
      </c>
    </row>
    <row r="24">
      <c r="A24" s="12" t="inlineStr">
        <is>
          <t>Standardised coefficients sorted by size (data for the coefficient chart)</t>
        </is>
      </c>
    </row>
    <row r="25">
      <c r="A25" s="3" t="inlineStr">
        <is>
          <t>Variable</t>
        </is>
      </c>
      <c r="B25" s="3" t="inlineStr">
        <is>
          <t>Std. coefficient</t>
        </is>
      </c>
      <c r="C25" s="3" t="inlineStr">
        <is>
          <t>Std. 95% CI low</t>
        </is>
      </c>
      <c r="D25" s="3" t="inlineStr">
        <is>
          <t>Std. 95% CI high</t>
        </is>
      </c>
      <c r="E25" s="3" t="inlineStr">
        <is>
          <t>p-value</t>
        </is>
      </c>
      <c r="F25" s="3" t="inlineStr">
        <is>
          <t>Error bar (−)</t>
        </is>
      </c>
      <c r="G25" s="3" t="inlineStr">
        <is>
          <t>Error bar (+)</t>
        </is>
      </c>
    </row>
    <row r="26">
      <c r="A26" s="4" t="inlineStr">
        <is>
          <t>log_value_diff</t>
        </is>
      </c>
      <c r="B26" s="6">
        <f>INDEX($C$11:$J$11,MATCH($A26,$C$4:$J$4,0))</f>
        <v>0.8594360235916764</v>
      </c>
      <c r="C26" s="6">
        <f>INDEX($C$12:$J$12,MATCH($A26,$C$4:$J$4,0))</f>
        <v>0.19560749485571674</v>
      </c>
      <c r="D26" s="6">
        <f>INDEX($C$13:$J$13,MATCH($A26,$C$4:$J$4,0))</f>
        <v>1.523264552327636</v>
      </c>
      <c r="E26" s="6">
        <f>INDEX($C$7:$J$7,MATCH($A26,$C$4:$J$4,0))</f>
        <v>0.011716893403131843</v>
      </c>
      <c r="F26" s="6">
        <f>B26-C26</f>
        <v>0.6638285287359597</v>
      </c>
      <c r="G26" s="6">
        <f>D26-B26</f>
        <v>0.6638285287359597</v>
      </c>
    </row>
    <row r="27">
      <c r="A27" s="4" t="inlineStr">
        <is>
          <t>elo_diff</t>
        </is>
      </c>
      <c r="B27" s="6">
        <f>INDEX($C$11:$J$11,MATCH($A27,$C$4:$J$4,0))</f>
        <v>0.742592547182452</v>
      </c>
      <c r="C27" s="6">
        <f>INDEX($C$12:$J$12,MATCH($A27,$C$4:$J$4,0))</f>
        <v>-0.2880574248283343</v>
      </c>
      <c r="D27" s="6">
        <f>INDEX($C$13:$J$13,MATCH($A27,$C$4:$J$4,0))</f>
        <v>1.7732425191932384</v>
      </c>
      <c r="E27" s="6">
        <f>INDEX($C$7:$J$7,MATCH($A27,$C$4:$J$4,0))</f>
        <v>0.1558857161460194</v>
      </c>
      <c r="F27" s="6">
        <f>B27-C27</f>
        <v>1.0306499720107865</v>
      </c>
      <c r="G27" s="6">
        <f>D27-B27</f>
        <v>1.0306499720107865</v>
      </c>
    </row>
    <row r="28">
      <c r="A28" s="4" t="inlineStr">
        <is>
          <t>age_diff</t>
        </is>
      </c>
      <c r="B28" s="6">
        <f>INDEX($C$11:$J$11,MATCH($A28,$C$4:$J$4,0))</f>
        <v>0.367725065039785</v>
      </c>
      <c r="C28" s="6">
        <f>INDEX($C$12:$J$12,MATCH($A28,$C$4:$J$4,0))</f>
        <v>-0.04884484869541565</v>
      </c>
      <c r="D28" s="6">
        <f>INDEX($C$13:$J$13,MATCH($A28,$C$4:$J$4,0))</f>
        <v>0.7842949787749858</v>
      </c>
      <c r="E28" s="6">
        <f>INDEX($C$7:$J$7,MATCH($A28,$C$4:$J$4,0))</f>
        <v>0.08291930685281694</v>
      </c>
      <c r="F28" s="6">
        <f>B28-C28</f>
        <v>0.4165699137352007</v>
      </c>
      <c r="G28" s="6">
        <f>D28-B28</f>
        <v>0.41656991373520075</v>
      </c>
    </row>
    <row r="29">
      <c r="A29" s="4" t="inlineStr">
        <is>
          <t>host_diff</t>
        </is>
      </c>
      <c r="B29" s="6">
        <f>INDEX($C$11:$J$11,MATCH($A29,$C$4:$J$4,0))</f>
        <v>0.35813634765001773</v>
      </c>
      <c r="C29" s="6">
        <f>INDEX($C$12:$J$12,MATCH($A29,$C$4:$J$4,0))</f>
        <v>0.0440967613579865</v>
      </c>
      <c r="D29" s="6">
        <f>INDEX($C$13:$J$13,MATCH($A29,$C$4:$J$4,0))</f>
        <v>0.6721759339420489</v>
      </c>
      <c r="E29" s="6">
        <f>INDEX($C$7:$J$7,MATCH($A29,$C$4:$J$4,0))</f>
        <v>0.025847733644122784</v>
      </c>
      <c r="F29" s="6">
        <f>B29-C29</f>
        <v>0.3140395862920312</v>
      </c>
      <c r="G29" s="6">
        <f>D29-B29</f>
        <v>0.31403958629203116</v>
      </c>
    </row>
    <row r="30">
      <c r="A30" s="4" t="inlineStr">
        <is>
          <t>caps_diff</t>
        </is>
      </c>
      <c r="B30" s="6">
        <f>INDEX($C$11:$J$11,MATCH($A30,$C$4:$J$4,0))</f>
        <v>-0.2572579188377226</v>
      </c>
      <c r="C30" s="6">
        <f>INDEX($C$12:$J$12,MATCH($A30,$C$4:$J$4,0))</f>
        <v>-0.7232425470966753</v>
      </c>
      <c r="D30" s="6">
        <f>INDEX($C$13:$J$13,MATCH($A30,$C$4:$J$4,0))</f>
        <v>0.2087267094212302</v>
      </c>
      <c r="E30" s="6">
        <f>INDEX($C$7:$J$7,MATCH($A30,$C$4:$J$4,0))</f>
        <v>0.2758471976085996</v>
      </c>
      <c r="F30" s="6">
        <f>B30-C30</f>
        <v>0.46598462825895276</v>
      </c>
      <c r="G30" s="6">
        <f>D30-B30</f>
        <v>0.4659846282589528</v>
      </c>
    </row>
    <row r="31">
      <c r="A31" s="4" t="inlineStr">
        <is>
          <t>goals_conceded_diff</t>
        </is>
      </c>
      <c r="B31" s="6">
        <f>INDEX($C$11:$J$11,MATCH($A31,$C$4:$J$4,0))</f>
        <v>-0.15372341492036398</v>
      </c>
      <c r="C31" s="6">
        <f>INDEX($C$12:$J$12,MATCH($A31,$C$4:$J$4,0))</f>
        <v>-0.4644032504095418</v>
      </c>
      <c r="D31" s="6">
        <f>INDEX($C$13:$J$13,MATCH($A31,$C$4:$J$4,0))</f>
        <v>0.15695642056881381</v>
      </c>
      <c r="E31" s="6">
        <f>INDEX($C$7:$J$7,MATCH($A31,$C$4:$J$4,0))</f>
        <v>0.3284490998068519</v>
      </c>
      <c r="F31" s="6">
        <f>B31-C31</f>
        <v>0.31067983548917777</v>
      </c>
      <c r="G31" s="6">
        <f>D31-B31</f>
        <v>0.31067983548917777</v>
      </c>
    </row>
    <row r="32">
      <c r="A32" s="4" t="inlineStr">
        <is>
          <t>fifa_rank_diff</t>
        </is>
      </c>
      <c r="B32" s="6">
        <f>INDEX($C$11:$J$11,MATCH($A32,$C$4:$J$4,0))</f>
        <v>0.13248869045607983</v>
      </c>
      <c r="C32" s="6">
        <f>INDEX($C$12:$J$12,MATCH($A32,$C$4:$J$4,0))</f>
        <v>-0.8400788946943818</v>
      </c>
      <c r="D32" s="6">
        <f>INDEX($C$13:$J$13,MATCH($A32,$C$4:$J$4,0))</f>
        <v>1.1050562756065414</v>
      </c>
      <c r="E32" s="6">
        <f>INDEX($C$7:$J$7,MATCH($A32,$C$4:$J$4,0))</f>
        <v>0.7874067571434908</v>
      </c>
      <c r="F32" s="6">
        <f>B32-C32</f>
        <v>0.9725675851504616</v>
      </c>
      <c r="G32" s="6">
        <f>D32-B32</f>
        <v>0.9725675851504616</v>
      </c>
    </row>
    <row r="33">
      <c r="A33" s="4" t="inlineStr">
        <is>
          <t>rest_days_diff</t>
        </is>
      </c>
      <c r="B33" s="6">
        <f>INDEX($C$11:$J$11,MATCH($A33,$C$4:$J$4,0))</f>
        <v>0.04612404415034533</v>
      </c>
      <c r="C33" s="6">
        <f>INDEX($C$12:$J$12,MATCH($A33,$C$4:$J$4,0))</f>
        <v>-0.2482227471727888</v>
      </c>
      <c r="D33" s="6">
        <f>INDEX($C$13:$J$13,MATCH($A33,$C$4:$J$4,0))</f>
        <v>0.34047083547347945</v>
      </c>
      <c r="E33" s="6">
        <f>INDEX($C$7:$J$7,MATCH($A33,$C$4:$J$4,0))</f>
        <v>0.7564151783106576</v>
      </c>
      <c r="F33" s="6">
        <f>B33-C33</f>
        <v>0.2943467913231341</v>
      </c>
      <c r="G33" s="6">
        <f>D33-B33</f>
        <v>0.2943467913231341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</cols>
  <sheetData>
    <row r="1">
      <c r="A1" s="9" t="inlineStr">
        <is>
          <t>Out-of-sample accuracy (10-fold cross-validation, all 104 matches)</t>
        </is>
      </c>
    </row>
    <row r="2">
      <c r="A2" s="2" t="inlineStr">
        <is>
          <t>Formulas on the cross-validated predictions in the Predictions sheet.</t>
        </is>
      </c>
    </row>
    <row r="4">
      <c r="A4" s="3" t="inlineStr">
        <is>
          <t>Model</t>
        </is>
      </c>
      <c r="B4" s="3" t="inlineStr">
        <is>
          <t>MAE</t>
        </is>
      </c>
      <c r="C4" s="3" t="inlineStr">
        <is>
          <t>RMSE</t>
        </is>
      </c>
      <c r="D4" s="3" t="inlineStr">
        <is>
          <t>R²</t>
        </is>
      </c>
    </row>
    <row r="5">
      <c r="A5" s="4" t="inlineStr">
        <is>
          <t>Mean-only baseline</t>
        </is>
      </c>
      <c r="B5" s="6">
        <f>SUMPRODUCT(ABS(Predictions!$M$2:$M$105-Predictions!$Q$2:$Q$105))/COUNT(Predictions!$M$2:$M$105)</f>
        <v>1.5867364447494852</v>
      </c>
      <c r="C5" s="6">
        <f>SQRT(SUMPRODUCT((Predictions!$M$2:$M$105-Predictions!$Q$2:$Q$105)^2)/COUNT(Predictions!$M$2:$M$105))</f>
        <v>2.0368987696689316</v>
      </c>
      <c r="D5" s="6">
        <f>1-SUMPRODUCT((Predictions!$M$2:$M$105-Predictions!$Q$2:$Q$105)^2)/DEVSQ(Predictions!$M$2:$M$105)</f>
        <v>-0.022584872907145614</v>
      </c>
    </row>
    <row r="6">
      <c r="A6" s="4" t="inlineStr">
        <is>
          <t>Elo gap only (1 variable)</t>
        </is>
      </c>
      <c r="B6" s="6">
        <f>SUMPRODUCT(ABS(Predictions!$M$2:$M$105-Predictions!$R$2:$R$105))/COUNT(Predictions!$M$2:$M$105)</f>
        <v>1.2260201228608152</v>
      </c>
      <c r="C6" s="6">
        <f>SQRT(SUMPRODUCT((Predictions!$M$2:$M$105-Predictions!$R$2:$R$105)^2)/COUNT(Predictions!$M$2:$M$105))</f>
        <v>1.555248180744233</v>
      </c>
      <c r="D6" s="6">
        <f>1-SUMPRODUCT((Predictions!$M$2:$M$105-Predictions!$R$2:$R$105)^2)/DEVSQ(Predictions!$M$2:$M$105)</f>
        <v>0.40384405909879706</v>
      </c>
    </row>
    <row r="7">
      <c r="A7" s="4" t="inlineStr">
        <is>
          <t>Full model (8 variables)</t>
        </is>
      </c>
      <c r="B7" s="6">
        <f>SUMPRODUCT(ABS(Predictions!$M$2:$M$105-Predictions!$O$2:$O$105))/COUNT(Predictions!$M$2:$M$105)</f>
        <v>1.2224156148442935</v>
      </c>
      <c r="C7" s="6">
        <f>SQRT(SUMPRODUCT((Predictions!$M$2:$M$105-Predictions!$O$2:$O$105)^2)/COUNT(Predictions!$M$2:$M$105))</f>
        <v>1.5780299499390829</v>
      </c>
      <c r="D7" s="6">
        <f>1-SUMPRODUCT((Predictions!$M$2:$M$105-Predictions!$O$2:$O$105)^2)/DEVSQ(Predictions!$M$2:$M$105)</f>
        <v>0.3862507769634099</v>
      </c>
    </row>
    <row r="9">
      <c r="A9" s="4" t="inlineStr">
        <is>
          <t>MAE reduction vs mean-only baseline</t>
        </is>
      </c>
      <c r="B9" s="15">
        <f>1-B7/B5</f>
        <v>0.22960387095836243</v>
      </c>
    </row>
    <row r="10">
      <c r="A10" s="4" t="inlineStr">
        <is>
          <t>RMSE reduction vs mean-only baseline</t>
        </is>
      </c>
      <c r="C10" s="15">
        <f>1-C7/C5</f>
        <v>0.2252781662804142</v>
      </c>
    </row>
    <row r="12">
      <c r="A12" s="12" t="inlineStr">
        <is>
          <t>Result accuracy (predicted margin within ±0.5 = draw)</t>
        </is>
      </c>
    </row>
    <row r="13">
      <c r="A13" s="4" t="inlineStr">
        <is>
          <t>Full model (8 variables)</t>
        </is>
      </c>
      <c r="B13" s="15">
        <f>SUMPRODUCT((Predictions!$O$2:$O$105&gt;0.5)*(Predictions!$M$2:$M$105&gt;0)+(Predictions!$O$2:$O$105&lt;-0.5)*(Predictions!$M$2:$M$105&lt;0)+(ABS(Predictions!$O$2:$O$105)&lt;=0.5)*(Predictions!$M$2:$M$105=0))/COUNT(Predictions!$M$2:$M$105)</f>
        <v>0.625</v>
      </c>
    </row>
    <row r="14">
      <c r="A14" s="4" t="inlineStr">
        <is>
          <t>Always pick the home (first-listed) team</t>
        </is>
      </c>
      <c r="B14" s="15">
        <f>COUNTIF(Predictions!$M$2:$M$105,"&gt;0")/COUNT(Predictions!$M$2:$M$105)</f>
        <v>0.4807692307692308</v>
      </c>
    </row>
    <row r="16">
      <c r="A16" s="12" t="inlineStr">
        <is>
          <t>Stability: RMSE over 20 repeats of 10-fold CV (Python)</t>
        </is>
      </c>
    </row>
    <row r="17">
      <c r="A17" s="4" t="inlineStr">
        <is>
          <t>Mean</t>
        </is>
      </c>
      <c r="B17" s="13" t="n">
        <v>1.566292814401366</v>
      </c>
    </row>
    <row r="18">
      <c r="A18" s="4" t="inlineStr">
        <is>
          <t>Standard deviation</t>
        </is>
      </c>
      <c r="B18" s="13" t="n">
        <v>0.02803078584752547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9" t="inlineStr">
        <is>
          <t>Helper data for the charts</t>
        </is>
      </c>
    </row>
    <row r="3">
      <c r="A3" s="12" t="inlineStr">
        <is>
          <t>Reference line y = x (actual vs predicted chart)</t>
        </is>
      </c>
    </row>
    <row r="4">
      <c r="A4" s="3" t="inlineStr">
        <is>
          <t>x</t>
        </is>
      </c>
      <c r="B4" s="3" t="inlineStr">
        <is>
          <t>y</t>
        </is>
      </c>
    </row>
    <row r="5">
      <c r="A5" s="4" t="n">
        <v>-4</v>
      </c>
      <c r="B5" s="4">
        <f>A5</f>
        <v>-4.0</v>
      </c>
    </row>
    <row r="6">
      <c r="A6" s="4" t="n">
        <v>6</v>
      </c>
      <c r="B6" s="4">
        <f>A6</f>
        <v>6.0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2026-10-17T13:14:29Z</dcterms:created>
  <dcterms:modified xmlns:dcterms="http://purl.org/dc/terms/" xmlns:xsi="http://www.w3.org/2001/XMLSchema-instance" xsi:type="dcterms:W3CDTF">2026-10-17T13:14:29Z</dcterms:modified>
</cp:coreProperties>
</file>